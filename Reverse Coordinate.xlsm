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en_skoroszyt" defaultThemeVersion="124226"/>
  <bookViews>
    <workbookView xWindow="480" yWindow="255" windowWidth="27795" windowHeight="14445" activeTab="4"/>
  </bookViews>
  <sheets>
    <sheet name="Reverse Matrix" sheetId="2" r:id="rId1"/>
    <sheet name="Recalculation" sheetId="1" r:id="rId2"/>
    <sheet name="Recalculation old" sheetId="3" r:id="rId3"/>
    <sheet name="Reverse Matrix (2)" sheetId="4" r:id="rId4"/>
    <sheet name="Reverse Matrix (3)" sheetId="5" r:id="rId5"/>
  </sheets>
  <functionGroups builtInGroupCount="17"/>
  <definedNames>
    <definedName name="GENERAL_Left" localSheetId="2">#REF!</definedName>
    <definedName name="GENERAL_Left" localSheetId="0">#REF!</definedName>
    <definedName name="GENERAL_Left" localSheetId="3">#REF!</definedName>
    <definedName name="GENERAL_Left" localSheetId="4">#REF!</definedName>
    <definedName name="GENERAL_Left">#REF!</definedName>
  </definedNames>
  <calcPr calcId="145621"/>
</workbook>
</file>

<file path=xl/calcChain.xml><?xml version="1.0" encoding="utf-8"?>
<calcChain xmlns="http://schemas.openxmlformats.org/spreadsheetml/2006/main">
  <c r="S94" i="5" l="1" a="1"/>
  <c r="U94" i="5" s="1"/>
  <c r="S94" i="5"/>
  <c r="T94" i="5"/>
  <c r="V94" i="5"/>
  <c r="S95" i="5"/>
  <c r="T95" i="5"/>
  <c r="V95" i="5"/>
  <c r="S96" i="5"/>
  <c r="T96" i="5"/>
  <c r="V96" i="5"/>
  <c r="S97" i="5"/>
  <c r="T97" i="5"/>
  <c r="V97" i="5"/>
  <c r="S89" i="5" a="1"/>
  <c r="U89" i="5" s="1"/>
  <c r="S89" i="5"/>
  <c r="T89" i="5"/>
  <c r="V89" i="5"/>
  <c r="S90" i="5"/>
  <c r="T90" i="5"/>
  <c r="V90" i="5"/>
  <c r="S91" i="5"/>
  <c r="T91" i="5"/>
  <c r="V91" i="5"/>
  <c r="S92" i="5"/>
  <c r="T92" i="5"/>
  <c r="V92" i="5"/>
  <c r="N89" i="5" a="1"/>
  <c r="N89" i="5"/>
  <c r="O89" i="5"/>
  <c r="P89" i="5"/>
  <c r="Q89" i="5"/>
  <c r="N90" i="5"/>
  <c r="O90" i="5"/>
  <c r="P90" i="5"/>
  <c r="Q90" i="5"/>
  <c r="N91" i="5"/>
  <c r="O91" i="5"/>
  <c r="P91" i="5"/>
  <c r="Q91" i="5"/>
  <c r="N92" i="5"/>
  <c r="O92" i="5"/>
  <c r="P92" i="5"/>
  <c r="Q92" i="5"/>
  <c r="I89" i="5" a="1"/>
  <c r="K89" i="5" s="1"/>
  <c r="I89" i="5"/>
  <c r="J89" i="5"/>
  <c r="L89" i="5"/>
  <c r="I90" i="5"/>
  <c r="J90" i="5"/>
  <c r="L90" i="5"/>
  <c r="I91" i="5"/>
  <c r="J91" i="5"/>
  <c r="L91" i="5"/>
  <c r="I92" i="5"/>
  <c r="J92" i="5"/>
  <c r="L92" i="5"/>
  <c r="D84" i="5" a="1"/>
  <c r="F84" i="5" s="1"/>
  <c r="D84" i="5"/>
  <c r="E84" i="5"/>
  <c r="G84" i="5"/>
  <c r="D85" i="5"/>
  <c r="E85" i="5"/>
  <c r="G85" i="5"/>
  <c r="D86" i="5"/>
  <c r="E86" i="5"/>
  <c r="G86" i="5"/>
  <c r="D87" i="5"/>
  <c r="E87" i="5"/>
  <c r="G87" i="5"/>
  <c r="P81" i="5"/>
  <c r="O81" i="5"/>
  <c r="N81" i="5"/>
  <c r="V80" i="5"/>
  <c r="P80" i="5"/>
  <c r="O80" i="5"/>
  <c r="N80" i="5"/>
  <c r="L80" i="5"/>
  <c r="F80" i="5"/>
  <c r="E80" i="5"/>
  <c r="D80" i="5"/>
  <c r="V79" i="5"/>
  <c r="P79" i="5"/>
  <c r="O79" i="5"/>
  <c r="N79" i="5"/>
  <c r="L79" i="5"/>
  <c r="F79" i="5"/>
  <c r="E79" i="5"/>
  <c r="D79" i="5"/>
  <c r="V78" i="5"/>
  <c r="P78" i="5"/>
  <c r="O78" i="5"/>
  <c r="N78" i="5"/>
  <c r="L78" i="5"/>
  <c r="F78" i="5"/>
  <c r="E78" i="5"/>
  <c r="D78" i="5"/>
  <c r="N66" i="5" a="1"/>
  <c r="O68" i="5" s="1"/>
  <c r="K68" i="5"/>
  <c r="I66" i="5"/>
  <c r="I66" i="5" a="1"/>
  <c r="J68" i="5" s="1"/>
  <c r="D66" i="5" a="1"/>
  <c r="F68" i="5" s="1"/>
  <c r="D60" i="5" a="1"/>
  <c r="D62" i="5" s="1"/>
  <c r="Z41" i="5" a="1"/>
  <c r="AB43" i="5" s="1"/>
  <c r="C33" i="5" a="1"/>
  <c r="C35" i="5" s="1"/>
  <c r="I26" i="5"/>
  <c r="G26" i="5"/>
  <c r="I24" i="5"/>
  <c r="G24" i="5"/>
  <c r="E24" i="5"/>
  <c r="D23" i="5"/>
  <c r="C23" i="5" a="1"/>
  <c r="E25" i="5" s="1"/>
  <c r="U19" i="5" a="1"/>
  <c r="M16" i="5"/>
  <c r="L16" i="5"/>
  <c r="H26" i="5" s="1"/>
  <c r="K16" i="5"/>
  <c r="M15" i="5"/>
  <c r="I25" i="5" s="1"/>
  <c r="L15" i="5"/>
  <c r="H25" i="5" s="1"/>
  <c r="K15" i="5"/>
  <c r="G25" i="5" s="1"/>
  <c r="M14" i="5"/>
  <c r="L14" i="5"/>
  <c r="H24" i="5" s="1"/>
  <c r="K14" i="5"/>
  <c r="M13" i="5"/>
  <c r="I23" i="5" s="1"/>
  <c r="L13" i="5"/>
  <c r="H23" i="5" s="1"/>
  <c r="K13" i="5"/>
  <c r="G23" i="5" s="1"/>
  <c r="U97" i="5" l="1"/>
  <c r="U96" i="5"/>
  <c r="U95" i="5"/>
  <c r="U92" i="5"/>
  <c r="U91" i="5"/>
  <c r="U90" i="5"/>
  <c r="K92" i="5"/>
  <c r="K91" i="5"/>
  <c r="K90" i="5"/>
  <c r="F87" i="5"/>
  <c r="F86" i="5"/>
  <c r="F85" i="5"/>
  <c r="J67" i="5"/>
  <c r="F66" i="5"/>
  <c r="F67" i="5"/>
  <c r="D68" i="5"/>
  <c r="E66" i="5"/>
  <c r="U21" i="5"/>
  <c r="W19" i="5"/>
  <c r="W20" i="5"/>
  <c r="V19" i="5"/>
  <c r="W21" i="5"/>
  <c r="V20" i="5"/>
  <c r="U19" i="5"/>
  <c r="V21" i="5"/>
  <c r="U20" i="5"/>
  <c r="C34" i="5"/>
  <c r="D35" i="5"/>
  <c r="AA41" i="5"/>
  <c r="AB42" i="5"/>
  <c r="D61" i="5"/>
  <c r="E62" i="5"/>
  <c r="D67" i="5"/>
  <c r="E68" i="5"/>
  <c r="J66" i="5"/>
  <c r="K67" i="5"/>
  <c r="E23" i="5"/>
  <c r="C25" i="5"/>
  <c r="C33" i="5"/>
  <c r="D34" i="5"/>
  <c r="E35" i="5"/>
  <c r="AB41" i="5"/>
  <c r="Z43" i="5"/>
  <c r="D60" i="5"/>
  <c r="E61" i="5"/>
  <c r="F62" i="5"/>
  <c r="D66" i="5"/>
  <c r="E67" i="5"/>
  <c r="K66" i="5"/>
  <c r="I68" i="5"/>
  <c r="N66" i="5"/>
  <c r="O67" i="5"/>
  <c r="P68" i="5"/>
  <c r="Z42" i="5"/>
  <c r="AA43" i="5"/>
  <c r="E60" i="5"/>
  <c r="F61" i="5"/>
  <c r="I67" i="5"/>
  <c r="O66" i="5"/>
  <c r="P67" i="5"/>
  <c r="C24" i="5"/>
  <c r="D25" i="5"/>
  <c r="D33" i="5"/>
  <c r="E34" i="5"/>
  <c r="C23" i="5"/>
  <c r="D24" i="5"/>
  <c r="E33" i="5"/>
  <c r="Z41" i="5"/>
  <c r="AA42" i="5"/>
  <c r="F60" i="5"/>
  <c r="P66" i="5"/>
  <c r="N68" i="5"/>
  <c r="N67" i="5"/>
  <c r="Q73" i="5" s="1"/>
  <c r="O73" i="5" s="1"/>
  <c r="N84" i="4" a="1"/>
  <c r="P84" i="4" s="1"/>
  <c r="N84" i="4"/>
  <c r="O84" i="4"/>
  <c r="Q84" i="4"/>
  <c r="N85" i="4"/>
  <c r="O85" i="4"/>
  <c r="Q85" i="4"/>
  <c r="N86" i="4"/>
  <c r="O86" i="4"/>
  <c r="Q86" i="4"/>
  <c r="N87" i="4"/>
  <c r="O87" i="4"/>
  <c r="Q87" i="4"/>
  <c r="I84" i="4" a="1"/>
  <c r="K84" i="4" s="1"/>
  <c r="I84" i="4"/>
  <c r="J84" i="4"/>
  <c r="L84" i="4"/>
  <c r="I85" i="4"/>
  <c r="J85" i="4"/>
  <c r="L85" i="4"/>
  <c r="I86" i="4"/>
  <c r="J86" i="4"/>
  <c r="L86" i="4"/>
  <c r="I87" i="4"/>
  <c r="J87" i="4"/>
  <c r="L87" i="4"/>
  <c r="D84" i="4" a="1"/>
  <c r="D84" i="4"/>
  <c r="E84" i="4"/>
  <c r="F84" i="4"/>
  <c r="G84" i="4"/>
  <c r="D85" i="4"/>
  <c r="E85" i="4"/>
  <c r="F85" i="4"/>
  <c r="G85" i="4"/>
  <c r="D86" i="4"/>
  <c r="E86" i="4"/>
  <c r="F86" i="4"/>
  <c r="G86" i="4"/>
  <c r="D87" i="4"/>
  <c r="E87" i="4"/>
  <c r="F87" i="4"/>
  <c r="G87" i="4"/>
  <c r="D84" i="2"/>
  <c r="E84" i="2"/>
  <c r="D85" i="2"/>
  <c r="E85" i="2"/>
  <c r="D86" i="2"/>
  <c r="E86" i="2"/>
  <c r="D87" i="2"/>
  <c r="E87" i="2"/>
  <c r="D84" i="2" a="1"/>
  <c r="F84" i="2" s="1"/>
  <c r="G87" i="2"/>
  <c r="P81" i="4"/>
  <c r="O81" i="4"/>
  <c r="N81" i="4"/>
  <c r="V80" i="4"/>
  <c r="P80" i="4"/>
  <c r="O80" i="4"/>
  <c r="N80" i="4"/>
  <c r="L80" i="4"/>
  <c r="F80" i="4"/>
  <c r="E80" i="4"/>
  <c r="D80" i="4"/>
  <c r="V79" i="4"/>
  <c r="P79" i="4"/>
  <c r="O79" i="4"/>
  <c r="N79" i="4"/>
  <c r="L79" i="4"/>
  <c r="F79" i="4"/>
  <c r="E79" i="4"/>
  <c r="D79" i="4"/>
  <c r="V78" i="4"/>
  <c r="P78" i="4"/>
  <c r="O78" i="4"/>
  <c r="N78" i="4"/>
  <c r="L78" i="4"/>
  <c r="F78" i="4"/>
  <c r="E78" i="4"/>
  <c r="D78" i="4"/>
  <c r="N68" i="4"/>
  <c r="P66" i="4"/>
  <c r="N66" i="4" a="1"/>
  <c r="P67" i="4" s="1"/>
  <c r="K68" i="4"/>
  <c r="K67" i="4"/>
  <c r="J67" i="4"/>
  <c r="J66" i="4"/>
  <c r="I66" i="4"/>
  <c r="I66" i="4" a="1"/>
  <c r="J68" i="4" s="1"/>
  <c r="D68" i="4"/>
  <c r="F66" i="4"/>
  <c r="D66" i="4" a="1"/>
  <c r="F67" i="4" s="1"/>
  <c r="D62" i="4"/>
  <c r="F60" i="4"/>
  <c r="D60" i="4" a="1"/>
  <c r="E62" i="4" s="1"/>
  <c r="AB43" i="4"/>
  <c r="AA42" i="4"/>
  <c r="Z41" i="4"/>
  <c r="Z41" i="4" a="1"/>
  <c r="AA43" i="4" s="1"/>
  <c r="C35" i="4"/>
  <c r="E34" i="4"/>
  <c r="E33" i="4"/>
  <c r="D33" i="4"/>
  <c r="C33" i="4" a="1"/>
  <c r="E35" i="4" s="1"/>
  <c r="G26" i="4"/>
  <c r="I24" i="4"/>
  <c r="G23" i="4"/>
  <c r="E25" i="4"/>
  <c r="C24" i="4"/>
  <c r="C23" i="4" a="1"/>
  <c r="V21" i="4"/>
  <c r="U20" i="4"/>
  <c r="W19" i="4"/>
  <c r="U19" i="4" a="1"/>
  <c r="M16" i="4"/>
  <c r="I26" i="4" s="1"/>
  <c r="L16" i="4"/>
  <c r="H26" i="4" s="1"/>
  <c r="K16" i="4"/>
  <c r="M15" i="4"/>
  <c r="I25" i="4" s="1"/>
  <c r="L15" i="4"/>
  <c r="H25" i="4" s="1"/>
  <c r="K15" i="4"/>
  <c r="G25" i="4" s="1"/>
  <c r="M14" i="4"/>
  <c r="L14" i="4"/>
  <c r="H24" i="4" s="1"/>
  <c r="K14" i="4"/>
  <c r="G24" i="4" s="1"/>
  <c r="M13" i="4"/>
  <c r="I23" i="4" s="1"/>
  <c r="L13" i="4"/>
  <c r="H23" i="4" s="1"/>
  <c r="K13" i="4"/>
  <c r="L26" i="5" l="1"/>
  <c r="L24" i="5"/>
  <c r="L25" i="5"/>
  <c r="L23" i="5"/>
  <c r="U41" i="5" a="1"/>
  <c r="G33" i="5" a="1"/>
  <c r="K25" i="5"/>
  <c r="K23" i="5"/>
  <c r="K26" i="5"/>
  <c r="K24" i="5"/>
  <c r="Q74" i="5"/>
  <c r="O74" i="5" s="1"/>
  <c r="I60" i="5" a="1"/>
  <c r="Q72" i="5"/>
  <c r="O72" i="5" s="1"/>
  <c r="L73" i="5" s="1"/>
  <c r="J73" i="5" s="1"/>
  <c r="L74" i="5"/>
  <c r="J74" i="5" s="1"/>
  <c r="M26" i="5"/>
  <c r="M24" i="5"/>
  <c r="M25" i="5"/>
  <c r="M23" i="5"/>
  <c r="I84" i="5" a="1"/>
  <c r="P87" i="4"/>
  <c r="P86" i="4"/>
  <c r="S84" i="4" s="1" a="1"/>
  <c r="P85" i="4"/>
  <c r="K87" i="4"/>
  <c r="K86" i="4"/>
  <c r="K85" i="4"/>
  <c r="G86" i="2"/>
  <c r="G85" i="2"/>
  <c r="G84" i="2"/>
  <c r="F87" i="2"/>
  <c r="F86" i="2"/>
  <c r="F85" i="2"/>
  <c r="Q74" i="4"/>
  <c r="O74" i="4" s="1"/>
  <c r="C25" i="4"/>
  <c r="E23" i="4"/>
  <c r="D24" i="4"/>
  <c r="L23" i="4" s="1"/>
  <c r="W21" i="4"/>
  <c r="V20" i="4"/>
  <c r="U19" i="4"/>
  <c r="W20" i="4"/>
  <c r="C23" i="4"/>
  <c r="E24" i="4"/>
  <c r="L25" i="4" s="1"/>
  <c r="V19" i="4"/>
  <c r="U21" i="4"/>
  <c r="D23" i="4"/>
  <c r="D25" i="4"/>
  <c r="C34" i="4"/>
  <c r="D35" i="4"/>
  <c r="AA41" i="4"/>
  <c r="U41" i="4" s="1" a="1"/>
  <c r="AB42" i="4"/>
  <c r="D67" i="4"/>
  <c r="E68" i="4"/>
  <c r="N67" i="4"/>
  <c r="O68" i="4"/>
  <c r="C33" i="4"/>
  <c r="D34" i="4"/>
  <c r="AB41" i="4"/>
  <c r="Z43" i="4"/>
  <c r="D60" i="4"/>
  <c r="E61" i="4"/>
  <c r="F62" i="4"/>
  <c r="D66" i="4"/>
  <c r="E67" i="4"/>
  <c r="F68" i="4"/>
  <c r="K66" i="4"/>
  <c r="I68" i="4"/>
  <c r="N66" i="4"/>
  <c r="O67" i="4"/>
  <c r="P68" i="4"/>
  <c r="Z42" i="4"/>
  <c r="E60" i="4"/>
  <c r="F61" i="4"/>
  <c r="E66" i="4"/>
  <c r="I67" i="4"/>
  <c r="O66" i="4"/>
  <c r="D61" i="4"/>
  <c r="I84" i="2" a="1"/>
  <c r="K84" i="2" s="1"/>
  <c r="L87" i="5" l="1"/>
  <c r="L86" i="5"/>
  <c r="L85" i="5"/>
  <c r="L84" i="5"/>
  <c r="K87" i="5"/>
  <c r="K86" i="5"/>
  <c r="K85" i="5"/>
  <c r="K84" i="5"/>
  <c r="J87" i="5"/>
  <c r="J86" i="5"/>
  <c r="J85" i="5"/>
  <c r="J84" i="5"/>
  <c r="I87" i="5"/>
  <c r="I86" i="5"/>
  <c r="I85" i="5"/>
  <c r="I84" i="5"/>
  <c r="K62" i="5"/>
  <c r="J61" i="5"/>
  <c r="I60" i="5"/>
  <c r="J62" i="5"/>
  <c r="I61" i="5"/>
  <c r="I62" i="5"/>
  <c r="K60" i="5"/>
  <c r="K61" i="5"/>
  <c r="J60" i="5"/>
  <c r="U43" i="5"/>
  <c r="W41" i="5"/>
  <c r="W42" i="5"/>
  <c r="V41" i="5"/>
  <c r="W43" i="5"/>
  <c r="V42" i="5"/>
  <c r="U41" i="5"/>
  <c r="V43" i="5"/>
  <c r="U42" i="5"/>
  <c r="L72" i="5"/>
  <c r="J72" i="5" s="1"/>
  <c r="I35" i="5"/>
  <c r="H34" i="5"/>
  <c r="G33" i="5"/>
  <c r="H35" i="5"/>
  <c r="G34" i="5"/>
  <c r="G35" i="5"/>
  <c r="I33" i="5"/>
  <c r="I34" i="5"/>
  <c r="H33" i="5"/>
  <c r="S84" i="4"/>
  <c r="V84" i="4"/>
  <c r="U84" i="4"/>
  <c r="T84" i="4"/>
  <c r="V87" i="4"/>
  <c r="U87" i="4"/>
  <c r="T87" i="4"/>
  <c r="S87" i="4"/>
  <c r="V86" i="4"/>
  <c r="U86" i="4"/>
  <c r="T86" i="4"/>
  <c r="S86" i="4"/>
  <c r="V85" i="4"/>
  <c r="U85" i="4"/>
  <c r="T85" i="4"/>
  <c r="S85" i="4"/>
  <c r="W43" i="4"/>
  <c r="V42" i="4"/>
  <c r="U41" i="4"/>
  <c r="V43" i="4"/>
  <c r="U42" i="4"/>
  <c r="W42" i="4"/>
  <c r="W41" i="4"/>
  <c r="V41" i="4"/>
  <c r="U43" i="4"/>
  <c r="M25" i="4"/>
  <c r="M23" i="4"/>
  <c r="M26" i="4"/>
  <c r="M24" i="4"/>
  <c r="Q72" i="4"/>
  <c r="O72" i="4" s="1"/>
  <c r="L72" i="4" s="1"/>
  <c r="J72" i="4" s="1"/>
  <c r="I60" i="4" a="1"/>
  <c r="G33" i="4" a="1"/>
  <c r="K26" i="4"/>
  <c r="K24" i="4"/>
  <c r="K23" i="4"/>
  <c r="K25" i="4"/>
  <c r="L26" i="4"/>
  <c r="L24" i="4"/>
  <c r="Q73" i="4"/>
  <c r="O73" i="4" s="1"/>
  <c r="J87" i="2"/>
  <c r="J86" i="2"/>
  <c r="J85" i="2"/>
  <c r="J84" i="2"/>
  <c r="L87" i="2"/>
  <c r="I87" i="2"/>
  <c r="I86" i="2"/>
  <c r="I85" i="2"/>
  <c r="I84" i="2"/>
  <c r="L84" i="2"/>
  <c r="L86" i="2"/>
  <c r="L85" i="2"/>
  <c r="K87" i="2"/>
  <c r="K86" i="2"/>
  <c r="K85" i="2"/>
  <c r="V79" i="2"/>
  <c r="V80" i="2"/>
  <c r="V78" i="2"/>
  <c r="N79" i="2"/>
  <c r="O79" i="2"/>
  <c r="P79" i="2"/>
  <c r="N80" i="2"/>
  <c r="O80" i="2"/>
  <c r="P80" i="2"/>
  <c r="N81" i="2"/>
  <c r="O81" i="2"/>
  <c r="P81" i="2"/>
  <c r="O78" i="2"/>
  <c r="P78" i="2"/>
  <c r="N78" i="2"/>
  <c r="L79" i="2"/>
  <c r="L80" i="2"/>
  <c r="L78" i="2"/>
  <c r="D79" i="2"/>
  <c r="E79" i="2"/>
  <c r="F79" i="2"/>
  <c r="D80" i="2"/>
  <c r="E80" i="2"/>
  <c r="F80" i="2"/>
  <c r="E78" i="2"/>
  <c r="F78" i="2"/>
  <c r="D78" i="2"/>
  <c r="G74" i="5" l="1"/>
  <c r="E74" i="5" s="1"/>
  <c r="G73" i="5"/>
  <c r="E73" i="5" s="1"/>
  <c r="G72" i="5"/>
  <c r="E72" i="5" s="1"/>
  <c r="S89" i="4" a="1"/>
  <c r="K61" i="4"/>
  <c r="J60" i="4"/>
  <c r="J62" i="4"/>
  <c r="I61" i="4"/>
  <c r="I62" i="4"/>
  <c r="K60" i="4"/>
  <c r="K62" i="4"/>
  <c r="J61" i="4"/>
  <c r="I60" i="4"/>
  <c r="L74" i="4"/>
  <c r="J74" i="4" s="1"/>
  <c r="L73" i="4"/>
  <c r="J73" i="4" s="1"/>
  <c r="G72" i="4" s="1"/>
  <c r="E72" i="4" s="1"/>
  <c r="G35" i="4"/>
  <c r="I33" i="4"/>
  <c r="I34" i="4"/>
  <c r="H33" i="4"/>
  <c r="H35" i="4"/>
  <c r="H34" i="4"/>
  <c r="G34" i="4"/>
  <c r="I35" i="4"/>
  <c r="G33" i="4"/>
  <c r="N84" i="2" a="1"/>
  <c r="N75" i="3"/>
  <c r="N66" i="2" a="1"/>
  <c r="P67" i="2" s="1"/>
  <c r="I66" i="2" a="1"/>
  <c r="K67" i="2" s="1"/>
  <c r="D66" i="2" a="1"/>
  <c r="F66" i="2" s="1"/>
  <c r="AA67" i="1"/>
  <c r="AA68" i="1"/>
  <c r="AA69" i="1"/>
  <c r="AA66" i="1"/>
  <c r="X66" i="1" a="1"/>
  <c r="X67" i="1" s="1"/>
  <c r="D60" i="2" a="1"/>
  <c r="F60" i="2" s="1"/>
  <c r="D75" i="3" a="1"/>
  <c r="F77" i="3" s="1"/>
  <c r="A71" i="3" a="1"/>
  <c r="A73" i="3" s="1"/>
  <c r="D67" i="3" a="1"/>
  <c r="D69" i="3" s="1"/>
  <c r="Z41" i="3" a="1"/>
  <c r="AB43" i="3" s="1"/>
  <c r="E34" i="3"/>
  <c r="D33" i="3"/>
  <c r="C33" i="3" a="1"/>
  <c r="C35" i="3" s="1"/>
  <c r="I26" i="3"/>
  <c r="G26" i="3"/>
  <c r="I24" i="3"/>
  <c r="G24" i="3"/>
  <c r="C23" i="3" a="1"/>
  <c r="E25" i="3" s="1"/>
  <c r="U19" i="3" a="1"/>
  <c r="U21" i="3" s="1"/>
  <c r="M16" i="3"/>
  <c r="L16" i="3"/>
  <c r="H26" i="3" s="1"/>
  <c r="K16" i="3"/>
  <c r="M15" i="3"/>
  <c r="I25" i="3" s="1"/>
  <c r="L15" i="3"/>
  <c r="H25" i="3" s="1"/>
  <c r="K15" i="3"/>
  <c r="G25" i="3" s="1"/>
  <c r="M14" i="3"/>
  <c r="L14" i="3"/>
  <c r="H24" i="3" s="1"/>
  <c r="K14" i="3"/>
  <c r="M13" i="3"/>
  <c r="I23" i="3" s="1"/>
  <c r="L13" i="3"/>
  <c r="H23" i="3" s="1"/>
  <c r="K13" i="3"/>
  <c r="G23" i="3" s="1"/>
  <c r="S92" i="4" l="1"/>
  <c r="S90" i="4"/>
  <c r="T90" i="4"/>
  <c r="U90" i="4"/>
  <c r="U89" i="4"/>
  <c r="V89" i="4"/>
  <c r="T91" i="4"/>
  <c r="V91" i="4"/>
  <c r="T89" i="4"/>
  <c r="S91" i="4"/>
  <c r="V92" i="4"/>
  <c r="U92" i="4"/>
  <c r="V90" i="4"/>
  <c r="T92" i="4"/>
  <c r="S89" i="4"/>
  <c r="S94" i="4" s="1" a="1"/>
  <c r="T97" i="4" s="1"/>
  <c r="U91" i="4"/>
  <c r="S96" i="4"/>
  <c r="V97" i="4"/>
  <c r="T94" i="4"/>
  <c r="U96" i="4"/>
  <c r="G73" i="4"/>
  <c r="E73" i="4" s="1"/>
  <c r="G74" i="4"/>
  <c r="E74" i="4" s="1"/>
  <c r="P84" i="2"/>
  <c r="O87" i="2"/>
  <c r="Q87" i="2"/>
  <c r="N84" i="2"/>
  <c r="P87" i="2"/>
  <c r="O86" i="2"/>
  <c r="N87" i="2"/>
  <c r="Q84" i="2"/>
  <c r="P86" i="2"/>
  <c r="O85" i="2"/>
  <c r="N86" i="2"/>
  <c r="Q86" i="2"/>
  <c r="P85" i="2"/>
  <c r="O84" i="2"/>
  <c r="N85" i="2"/>
  <c r="Q85" i="2"/>
  <c r="E62" i="2"/>
  <c r="E60" i="2"/>
  <c r="E67" i="2"/>
  <c r="P66" i="2"/>
  <c r="E68" i="2"/>
  <c r="E66" i="2"/>
  <c r="K66" i="2"/>
  <c r="N68" i="2"/>
  <c r="F61" i="2"/>
  <c r="D60" i="2"/>
  <c r="F68" i="2"/>
  <c r="D67" i="2"/>
  <c r="E61" i="2"/>
  <c r="F62" i="2"/>
  <c r="D61" i="2"/>
  <c r="F67" i="2"/>
  <c r="D66" i="2"/>
  <c r="I68" i="2"/>
  <c r="N67" i="2"/>
  <c r="Q73" i="2" s="1"/>
  <c r="O73" i="2" s="1"/>
  <c r="O68" i="2"/>
  <c r="N66" i="2"/>
  <c r="O67" i="2"/>
  <c r="P68" i="2"/>
  <c r="O66" i="2"/>
  <c r="I67" i="2"/>
  <c r="J68" i="2"/>
  <c r="I66" i="2"/>
  <c r="J67" i="2"/>
  <c r="K68" i="2"/>
  <c r="J66" i="2"/>
  <c r="D68" i="2"/>
  <c r="X68" i="1"/>
  <c r="Z66" i="1"/>
  <c r="Z67" i="1"/>
  <c r="Y66" i="1"/>
  <c r="Z68" i="1"/>
  <c r="Y67" i="1"/>
  <c r="X66" i="1"/>
  <c r="Y68" i="1"/>
  <c r="D62" i="2"/>
  <c r="U20" i="3"/>
  <c r="V21" i="3"/>
  <c r="D23" i="3"/>
  <c r="E24" i="3"/>
  <c r="C34" i="3"/>
  <c r="D35" i="3"/>
  <c r="AA41" i="3"/>
  <c r="AB42" i="3"/>
  <c r="A72" i="3"/>
  <c r="B73" i="3"/>
  <c r="E75" i="3"/>
  <c r="F76" i="3"/>
  <c r="V19" i="3"/>
  <c r="W20" i="3"/>
  <c r="D68" i="3"/>
  <c r="E69" i="3"/>
  <c r="U19" i="3"/>
  <c r="V20" i="3"/>
  <c r="W21" i="3"/>
  <c r="E23" i="3"/>
  <c r="C25" i="3"/>
  <c r="C33" i="3"/>
  <c r="G33" i="3" s="1" a="1"/>
  <c r="D34" i="3"/>
  <c r="E35" i="3"/>
  <c r="AB41" i="3"/>
  <c r="Z43" i="3"/>
  <c r="D67" i="3"/>
  <c r="E68" i="3"/>
  <c r="F69" i="3"/>
  <c r="A71" i="3"/>
  <c r="B72" i="3"/>
  <c r="C73" i="3"/>
  <c r="F75" i="3"/>
  <c r="D77" i="3"/>
  <c r="C24" i="3"/>
  <c r="D25" i="3"/>
  <c r="D76" i="3"/>
  <c r="E77" i="3"/>
  <c r="Z42" i="3"/>
  <c r="AA43" i="3"/>
  <c r="E67" i="3"/>
  <c r="F68" i="3"/>
  <c r="B71" i="3"/>
  <c r="C72" i="3"/>
  <c r="W19" i="3"/>
  <c r="C23" i="3"/>
  <c r="D24" i="3"/>
  <c r="E33" i="3"/>
  <c r="Z41" i="3"/>
  <c r="AA42" i="3"/>
  <c r="F67" i="3"/>
  <c r="C71" i="3"/>
  <c r="D75" i="3"/>
  <c r="H75" i="3" s="1"/>
  <c r="J75" i="3" s="1"/>
  <c r="E76" i="3"/>
  <c r="U97" i="4" l="1"/>
  <c r="V96" i="4"/>
  <c r="T96" i="4"/>
  <c r="V94" i="4"/>
  <c r="S97" i="4"/>
  <c r="T95" i="4"/>
  <c r="S95" i="4"/>
  <c r="U94" i="4"/>
  <c r="U95" i="4"/>
  <c r="V95" i="4"/>
  <c r="S94" i="4"/>
  <c r="S84" i="2" a="1"/>
  <c r="L73" i="2"/>
  <c r="J73" i="2" s="1"/>
  <c r="Q72" i="2"/>
  <c r="O72" i="2" s="1"/>
  <c r="L74" i="2" s="1"/>
  <c r="J74" i="2" s="1"/>
  <c r="Q74" i="2"/>
  <c r="O74" i="2" s="1"/>
  <c r="L72" i="2"/>
  <c r="J72" i="2" s="1"/>
  <c r="I60" i="2" a="1"/>
  <c r="K25" i="3"/>
  <c r="K23" i="3"/>
  <c r="K26" i="3"/>
  <c r="K24" i="3"/>
  <c r="H77" i="3"/>
  <c r="J77" i="3" s="1"/>
  <c r="L75" i="3"/>
  <c r="I35" i="3"/>
  <c r="H34" i="3"/>
  <c r="G33" i="3"/>
  <c r="H35" i="3"/>
  <c r="G34" i="3"/>
  <c r="G35" i="3"/>
  <c r="I33" i="3"/>
  <c r="I34" i="3"/>
  <c r="H33" i="3"/>
  <c r="U41" i="3" a="1"/>
  <c r="H76" i="3"/>
  <c r="J76" i="3" s="1"/>
  <c r="L77" i="3" s="1"/>
  <c r="N77" i="3" s="1"/>
  <c r="M26" i="3"/>
  <c r="M24" i="3"/>
  <c r="M25" i="3"/>
  <c r="M23" i="3"/>
  <c r="L76" i="3"/>
  <c r="N76" i="3" s="1"/>
  <c r="L26" i="3"/>
  <c r="L24" i="3"/>
  <c r="L25" i="3"/>
  <c r="L23" i="3"/>
  <c r="H67" i="3" a="1"/>
  <c r="Z41" i="2" a="1"/>
  <c r="AA43" i="2" s="1"/>
  <c r="C33" i="2" a="1"/>
  <c r="C34" i="2" s="1"/>
  <c r="I26" i="2"/>
  <c r="C23" i="2" a="1"/>
  <c r="E24" i="2" s="1"/>
  <c r="U19" i="2" a="1"/>
  <c r="M16" i="2"/>
  <c r="L16" i="2"/>
  <c r="H26" i="2" s="1"/>
  <c r="K16" i="2"/>
  <c r="G26" i="2" s="1"/>
  <c r="M15" i="2"/>
  <c r="I25" i="2" s="1"/>
  <c r="L15" i="2"/>
  <c r="H25" i="2" s="1"/>
  <c r="K15" i="2"/>
  <c r="G25" i="2" s="1"/>
  <c r="M14" i="2"/>
  <c r="I24" i="2" s="1"/>
  <c r="L14" i="2"/>
  <c r="H24" i="2" s="1"/>
  <c r="K14" i="2"/>
  <c r="G24" i="2" s="1"/>
  <c r="M13" i="2"/>
  <c r="I23" i="2" s="1"/>
  <c r="L13" i="2"/>
  <c r="H23" i="2" s="1"/>
  <c r="K13" i="2"/>
  <c r="G23" i="2" s="1"/>
  <c r="T86" i="2" l="1"/>
  <c r="V84" i="2"/>
  <c r="V86" i="2"/>
  <c r="U86" i="2"/>
  <c r="V87" i="2"/>
  <c r="S87" i="2"/>
  <c r="T85" i="2"/>
  <c r="U85" i="2"/>
  <c r="U84" i="2"/>
  <c r="T87" i="2"/>
  <c r="V85" i="2"/>
  <c r="S84" i="2"/>
  <c r="S85" i="2"/>
  <c r="S86" i="2"/>
  <c r="T84" i="2"/>
  <c r="U87" i="2"/>
  <c r="G72" i="2"/>
  <c r="E72" i="2" s="1"/>
  <c r="Z41" i="2"/>
  <c r="G73" i="2"/>
  <c r="E73" i="2" s="1"/>
  <c r="AA42" i="2"/>
  <c r="G74" i="2"/>
  <c r="E74" i="2" s="1"/>
  <c r="AB43" i="2"/>
  <c r="K60" i="2"/>
  <c r="K62" i="2"/>
  <c r="I61" i="2"/>
  <c r="J61" i="2"/>
  <c r="I62" i="2"/>
  <c r="K61" i="2"/>
  <c r="I60" i="2"/>
  <c r="J60" i="2"/>
  <c r="J62" i="2"/>
  <c r="C23" i="2"/>
  <c r="D25" i="2"/>
  <c r="D23" i="2"/>
  <c r="E25" i="2"/>
  <c r="C24" i="2"/>
  <c r="U43" i="3"/>
  <c r="W41" i="3"/>
  <c r="W42" i="3"/>
  <c r="V41" i="3"/>
  <c r="W43" i="3"/>
  <c r="V42" i="3"/>
  <c r="U41" i="3"/>
  <c r="V43" i="3"/>
  <c r="U42" i="3"/>
  <c r="J69" i="3"/>
  <c r="I68" i="3"/>
  <c r="H67" i="3"/>
  <c r="I69" i="3"/>
  <c r="H68" i="3"/>
  <c r="H69" i="3"/>
  <c r="J67" i="3"/>
  <c r="J68" i="3"/>
  <c r="I67" i="3"/>
  <c r="W21" i="2"/>
  <c r="V20" i="2"/>
  <c r="U19" i="2"/>
  <c r="W20" i="2"/>
  <c r="K24" i="2"/>
  <c r="V19" i="2"/>
  <c r="U21" i="2"/>
  <c r="E35" i="2"/>
  <c r="D34" i="2"/>
  <c r="C33" i="2"/>
  <c r="E34" i="2"/>
  <c r="W19" i="2"/>
  <c r="V21" i="2"/>
  <c r="D33" i="2"/>
  <c r="C35" i="2"/>
  <c r="U20" i="2"/>
  <c r="C25" i="2"/>
  <c r="E23" i="2"/>
  <c r="D24" i="2"/>
  <c r="L26" i="2" s="1"/>
  <c r="L25" i="2"/>
  <c r="E33" i="2"/>
  <c r="D35" i="2"/>
  <c r="AA41" i="2"/>
  <c r="AB42" i="2"/>
  <c r="AB41" i="2"/>
  <c r="Z43" i="2"/>
  <c r="Z42" i="2"/>
  <c r="S76" i="1" a="1"/>
  <c r="U76" i="1" s="1"/>
  <c r="S76" i="1"/>
  <c r="T76" i="1"/>
  <c r="V76" i="1"/>
  <c r="S77" i="1"/>
  <c r="T77" i="1"/>
  <c r="V77" i="1"/>
  <c r="S78" i="1"/>
  <c r="T78" i="1"/>
  <c r="V78" i="1"/>
  <c r="S79" i="1"/>
  <c r="T79" i="1"/>
  <c r="V79" i="1"/>
  <c r="X71" i="1" a="1"/>
  <c r="Z71" i="1" s="1"/>
  <c r="X71" i="1"/>
  <c r="Y71" i="1"/>
  <c r="AA71" i="1"/>
  <c r="X72" i="1"/>
  <c r="Y72" i="1"/>
  <c r="AA72" i="1"/>
  <c r="X73" i="1"/>
  <c r="Y73" i="1"/>
  <c r="AA73" i="1"/>
  <c r="X74" i="1"/>
  <c r="Y74" i="1"/>
  <c r="AA74" i="1"/>
  <c r="S66" i="1" a="1"/>
  <c r="U66" i="1" s="1"/>
  <c r="S66" i="1"/>
  <c r="T66" i="1"/>
  <c r="V66" i="1"/>
  <c r="S67" i="1"/>
  <c r="T67" i="1"/>
  <c r="V67" i="1"/>
  <c r="S68" i="1"/>
  <c r="T68" i="1"/>
  <c r="V68" i="1"/>
  <c r="S69" i="1"/>
  <c r="T69" i="1"/>
  <c r="V69" i="1"/>
  <c r="N76" i="1" a="1"/>
  <c r="P76" i="1" s="1"/>
  <c r="N76" i="1"/>
  <c r="O76" i="1"/>
  <c r="Q76" i="1"/>
  <c r="N77" i="1"/>
  <c r="O77" i="1"/>
  <c r="Q77" i="1"/>
  <c r="N78" i="1"/>
  <c r="O78" i="1"/>
  <c r="Q78" i="1"/>
  <c r="N79" i="1"/>
  <c r="O79" i="1"/>
  <c r="Q79" i="1"/>
  <c r="S71" i="1" a="1"/>
  <c r="U71" i="1" s="1"/>
  <c r="S71" i="1"/>
  <c r="T71" i="1"/>
  <c r="V71" i="1"/>
  <c r="S72" i="1"/>
  <c r="T72" i="1"/>
  <c r="V72" i="1"/>
  <c r="S73" i="1"/>
  <c r="T73" i="1"/>
  <c r="V73" i="1"/>
  <c r="S74" i="1"/>
  <c r="T74" i="1"/>
  <c r="V74" i="1"/>
  <c r="N71" i="1" a="1"/>
  <c r="N71" i="1" s="1"/>
  <c r="N66" i="1" a="1"/>
  <c r="P66" i="1" s="1"/>
  <c r="N66" i="1"/>
  <c r="O66" i="1"/>
  <c r="Q66" i="1"/>
  <c r="N67" i="1"/>
  <c r="O67" i="1"/>
  <c r="Q67" i="1"/>
  <c r="N68" i="1"/>
  <c r="O68" i="1"/>
  <c r="Q68" i="1"/>
  <c r="N69" i="1"/>
  <c r="O69" i="1"/>
  <c r="Q69" i="1"/>
  <c r="D66" i="1" a="1"/>
  <c r="F66" i="1" s="1"/>
  <c r="D66" i="1"/>
  <c r="E66" i="1"/>
  <c r="G66" i="1"/>
  <c r="D67" i="1"/>
  <c r="E67" i="1"/>
  <c r="G67" i="1"/>
  <c r="D68" i="1"/>
  <c r="E68" i="1"/>
  <c r="G68" i="1"/>
  <c r="D69" i="1"/>
  <c r="E69" i="1"/>
  <c r="G69" i="1"/>
  <c r="K23" i="1"/>
  <c r="S89" i="2" l="1" a="1"/>
  <c r="L24" i="2"/>
  <c r="K26" i="2"/>
  <c r="U41" i="2" a="1"/>
  <c r="V43" i="2" s="1"/>
  <c r="K25" i="2"/>
  <c r="K23" i="2"/>
  <c r="U41" i="2"/>
  <c r="L23" i="2"/>
  <c r="G33" i="2" a="1"/>
  <c r="M25" i="2"/>
  <c r="M23" i="2"/>
  <c r="M24" i="2"/>
  <c r="M26" i="2"/>
  <c r="U79" i="1"/>
  <c r="U78" i="1"/>
  <c r="U77" i="1"/>
  <c r="Z74" i="1"/>
  <c r="Z73" i="1"/>
  <c r="Z72" i="1"/>
  <c r="U69" i="1"/>
  <c r="U68" i="1"/>
  <c r="U67" i="1"/>
  <c r="P79" i="1"/>
  <c r="P78" i="1"/>
  <c r="P77" i="1"/>
  <c r="U74" i="1"/>
  <c r="U73" i="1"/>
  <c r="U72" i="1"/>
  <c r="N74" i="1"/>
  <c r="N73" i="1"/>
  <c r="N72" i="1"/>
  <c r="Q74" i="1"/>
  <c r="Q73" i="1"/>
  <c r="Q72" i="1"/>
  <c r="Q71" i="1"/>
  <c r="P74" i="1"/>
  <c r="P73" i="1"/>
  <c r="P72" i="1"/>
  <c r="P71" i="1"/>
  <c r="O74" i="1"/>
  <c r="O73" i="1"/>
  <c r="O72" i="1"/>
  <c r="O71" i="1"/>
  <c r="P69" i="1"/>
  <c r="P68" i="1"/>
  <c r="P67" i="1"/>
  <c r="F69" i="1"/>
  <c r="F68" i="1"/>
  <c r="F67" i="1"/>
  <c r="I66" i="1" s="1" a="1"/>
  <c r="T92" i="2" l="1"/>
  <c r="S92" i="2"/>
  <c r="V90" i="2"/>
  <c r="U91" i="2"/>
  <c r="S90" i="2"/>
  <c r="S89" i="2"/>
  <c r="V91" i="2"/>
  <c r="V89" i="2"/>
  <c r="U92" i="2"/>
  <c r="U90" i="2"/>
  <c r="V92" i="2"/>
  <c r="T89" i="2"/>
  <c r="U89" i="2"/>
  <c r="T90" i="2"/>
  <c r="S91" i="2"/>
  <c r="T91" i="2"/>
  <c r="V42" i="2"/>
  <c r="U43" i="2"/>
  <c r="V41" i="2"/>
  <c r="W41" i="2"/>
  <c r="U42" i="2"/>
  <c r="W43" i="2"/>
  <c r="W42" i="2"/>
  <c r="G35" i="2"/>
  <c r="I33" i="2"/>
  <c r="I34" i="2"/>
  <c r="G34" i="2"/>
  <c r="I35" i="2"/>
  <c r="H33" i="2"/>
  <c r="H35" i="2"/>
  <c r="G33" i="2"/>
  <c r="H34" i="2"/>
  <c r="K66" i="1"/>
  <c r="J69" i="1"/>
  <c r="I66" i="1"/>
  <c r="L69" i="1"/>
  <c r="I67" i="1"/>
  <c r="L67" i="1"/>
  <c r="J68" i="1"/>
  <c r="L66" i="1"/>
  <c r="I68" i="1"/>
  <c r="J66" i="1"/>
  <c r="I69" i="1"/>
  <c r="L68" i="1"/>
  <c r="J67" i="1"/>
  <c r="K69" i="1"/>
  <c r="K68" i="1"/>
  <c r="K67" i="1"/>
  <c r="U41" i="1" a="1"/>
  <c r="W41" i="1" s="1"/>
  <c r="U41" i="1"/>
  <c r="V41" i="1"/>
  <c r="V42" i="1"/>
  <c r="W42" i="1"/>
  <c r="V43" i="1"/>
  <c r="Z41" i="1" a="1"/>
  <c r="Z41" i="1"/>
  <c r="AA41" i="1"/>
  <c r="AB41" i="1"/>
  <c r="Z42" i="1"/>
  <c r="AA42" i="1"/>
  <c r="AB42" i="1"/>
  <c r="Z43" i="1"/>
  <c r="AA43" i="1"/>
  <c r="AB43" i="1"/>
  <c r="U19" i="1" a="1"/>
  <c r="W19" i="1" s="1"/>
  <c r="G33" i="1" a="1"/>
  <c r="G34" i="1" s="1"/>
  <c r="S94" i="2" l="1" a="1"/>
  <c r="W43" i="1"/>
  <c r="U42" i="1"/>
  <c r="U43" i="1"/>
  <c r="W20" i="1"/>
  <c r="V19" i="1"/>
  <c r="W21" i="1"/>
  <c r="V20" i="1"/>
  <c r="U19" i="1"/>
  <c r="V21" i="1"/>
  <c r="U20" i="1"/>
  <c r="U21" i="1"/>
  <c r="G35" i="1"/>
  <c r="I33" i="1"/>
  <c r="H34" i="1"/>
  <c r="I34" i="1"/>
  <c r="H33" i="1"/>
  <c r="G33" i="1"/>
  <c r="I35" i="1"/>
  <c r="H35" i="1"/>
  <c r="C33" i="1" a="1"/>
  <c r="E33" i="1" s="1"/>
  <c r="C33" i="1"/>
  <c r="D33" i="1"/>
  <c r="C34" i="1"/>
  <c r="D34" i="1"/>
  <c r="E34" i="1"/>
  <c r="D35" i="1"/>
  <c r="E35" i="1"/>
  <c r="C23" i="1" a="1"/>
  <c r="E23" i="1" s="1"/>
  <c r="C23" i="1"/>
  <c r="D23" i="1"/>
  <c r="C24" i="1"/>
  <c r="D24" i="1"/>
  <c r="E24" i="1"/>
  <c r="D25" i="1"/>
  <c r="E25" i="1"/>
  <c r="U95" i="2" l="1"/>
  <c r="V96" i="2"/>
  <c r="U97" i="2"/>
  <c r="U96" i="2"/>
  <c r="V95" i="2"/>
  <c r="U94" i="2"/>
  <c r="S94" i="2"/>
  <c r="T94" i="2"/>
  <c r="T97" i="2"/>
  <c r="S97" i="2"/>
  <c r="S96" i="2"/>
  <c r="V94" i="2"/>
  <c r="T95" i="2"/>
  <c r="S95" i="2"/>
  <c r="T96" i="2"/>
  <c r="V97" i="2"/>
  <c r="C35" i="1"/>
  <c r="C25" i="1"/>
  <c r="K14" i="1"/>
  <c r="G24" i="1" s="1"/>
  <c r="M13" i="1"/>
  <c r="I23" i="1" s="1"/>
  <c r="L13" i="1"/>
  <c r="H23" i="1" s="1"/>
  <c r="K13" i="1"/>
  <c r="G23" i="1" s="1"/>
  <c r="M23" i="1" l="1"/>
  <c r="L23" i="1"/>
  <c r="L14" i="1" l="1"/>
  <c r="H24" i="1" s="1"/>
  <c r="M14" i="1"/>
  <c r="I24" i="1" s="1"/>
  <c r="K15" i="1"/>
  <c r="G25" i="1" s="1"/>
  <c r="L15" i="1"/>
  <c r="H25" i="1" s="1"/>
  <c r="M15" i="1"/>
  <c r="I25" i="1" s="1"/>
  <c r="K16" i="1"/>
  <c r="G26" i="1" s="1"/>
  <c r="L16" i="1"/>
  <c r="H26" i="1" s="1"/>
  <c r="M16" i="1"/>
  <c r="I26" i="1" s="1"/>
  <c r="L25" i="1" l="1"/>
  <c r="M25" i="1"/>
  <c r="M26" i="1"/>
  <c r="L26" i="1"/>
  <c r="L24" i="1"/>
  <c r="M24" i="1"/>
  <c r="K26" i="1"/>
  <c r="K25" i="1"/>
  <c r="K24" i="1"/>
</calcChain>
</file>

<file path=xl/comments1.xml><?xml version="1.0" encoding="utf-8"?>
<comments xmlns="http://schemas.openxmlformats.org/spreadsheetml/2006/main">
  <authors>
    <author>Mirek</author>
  </authors>
  <commentList>
    <comment ref="C32" authorId="0">
      <text>
        <r>
          <rPr>
            <sz val="16"/>
            <color indexed="81"/>
            <rFont val="Tahoma"/>
            <family val="2"/>
            <charset val="238"/>
          </rPr>
          <t>Mirek:
Taka własność jak we wzorze z M. Kowalski
Dziala tylko wklej poprawnie bo by musiał być tablica</t>
        </r>
      </text>
    </comment>
  </commentList>
</comments>
</file>

<file path=xl/comments2.xml><?xml version="1.0" encoding="utf-8"?>
<comments xmlns="http://schemas.openxmlformats.org/spreadsheetml/2006/main">
  <authors>
    <author>Mirek</author>
  </authors>
  <commentList>
    <comment ref="C32" authorId="0">
      <text>
        <r>
          <rPr>
            <sz val="16"/>
            <color indexed="81"/>
            <rFont val="Tahoma"/>
            <family val="2"/>
            <charset val="238"/>
          </rPr>
          <t>Mirek:
Taka własność jak we wzorze z M. Kowalski
Dziala tylko wklej poprawnie bo by musiał być tablica</t>
        </r>
      </text>
    </comment>
  </commentList>
</comments>
</file>

<file path=xl/comments3.xml><?xml version="1.0" encoding="utf-8"?>
<comments xmlns="http://schemas.openxmlformats.org/spreadsheetml/2006/main">
  <authors>
    <author>Mirek</author>
  </authors>
  <commentList>
    <comment ref="C32" authorId="0">
      <text>
        <r>
          <rPr>
            <sz val="16"/>
            <color indexed="81"/>
            <rFont val="Tahoma"/>
            <family val="2"/>
            <charset val="238"/>
          </rPr>
          <t>Mirek:
Taka własność jak we wzorze z M. Kowalski
Dziala tylko wklej poprawnie bo by musiał być tablica</t>
        </r>
      </text>
    </comment>
  </commentList>
</comments>
</file>

<file path=xl/comments4.xml><?xml version="1.0" encoding="utf-8"?>
<comments xmlns="http://schemas.openxmlformats.org/spreadsheetml/2006/main">
  <authors>
    <author>Mirek</author>
  </authors>
  <commentList>
    <comment ref="C32" authorId="0">
      <text>
        <r>
          <rPr>
            <sz val="16"/>
            <color indexed="81"/>
            <rFont val="Tahoma"/>
            <family val="2"/>
            <charset val="238"/>
          </rPr>
          <t>Mirek:
Taka własność jak we wzorze z M. Kowalski
Dziala tylko wklej poprawnie bo by musiał być tablica</t>
        </r>
      </text>
    </comment>
  </commentList>
</comments>
</file>

<file path=xl/comments5.xml><?xml version="1.0" encoding="utf-8"?>
<comments xmlns="http://schemas.openxmlformats.org/spreadsheetml/2006/main">
  <authors>
    <author>Mirek</author>
  </authors>
  <commentList>
    <comment ref="C32" authorId="0">
      <text>
        <r>
          <rPr>
            <sz val="16"/>
            <color indexed="81"/>
            <rFont val="Tahoma"/>
            <family val="2"/>
            <charset val="238"/>
          </rPr>
          <t>Mirek:
Taka własność jak we wzorze z M. Kowalski
Dziala tylko wklej poprawnie bo by musiał być tablica</t>
        </r>
      </text>
    </comment>
  </commentList>
</comments>
</file>

<file path=xl/sharedStrings.xml><?xml version="1.0" encoding="utf-8"?>
<sst xmlns="http://schemas.openxmlformats.org/spreadsheetml/2006/main" count="290" uniqueCount="58">
  <si>
    <t>x</t>
  </si>
  <si>
    <t>y</t>
  </si>
  <si>
    <t>x'</t>
  </si>
  <si>
    <t>y'</t>
  </si>
  <si>
    <t>z</t>
  </si>
  <si>
    <t>z'</t>
  </si>
  <si>
    <t>https://pl.wikibooks.org/wiki/Metody_matematyczne_fizyki/Obr%C3%B3t_uk%C5%82adu_wsp%C3%B3%C5%82rz%C4%99dnych</t>
  </si>
  <si>
    <t>http://mathworld.wolfram.com/EulerAngles.html</t>
  </si>
  <si>
    <t>X1</t>
  </si>
  <si>
    <t>Y1</t>
  </si>
  <si>
    <t>Z1</t>
  </si>
  <si>
    <t>https://en.wikipedia.org/wiki/Euler_angles</t>
  </si>
  <si>
    <t>Global coordinates</t>
  </si>
  <si>
    <t>Local coordinates</t>
  </si>
  <si>
    <t>Rotation matrix</t>
  </si>
  <si>
    <t>3d coordinates</t>
  </si>
  <si>
    <t>Coordinate computation</t>
  </si>
  <si>
    <t>Coordinates shifted</t>
  </si>
  <si>
    <t>http://170.64.108.154/cd2/Catiav5r24doc/English/online/CATIA_P3_search.htm</t>
  </si>
  <si>
    <t>CAA V5 for CATIA - Getting Started - Dassault Systèmes</t>
  </si>
  <si>
    <t>https://pl.wikipedia.org/wiki/Macierz_obrotu, http://www.dimmension3.spine.pl/modules.php?name=Tutorials&amp;wtd=show_tutorial&amp;nr=19</t>
  </si>
  <si>
    <t>Example 1</t>
  </si>
  <si>
    <t>SECTION D-D</t>
  </si>
  <si>
    <t>Macierz odwotna</t>
  </si>
  <si>
    <t>Tarnsponowana M^-1=M^T</t>
  </si>
  <si>
    <t>Sprawdzenie M^T*Mrotacji</t>
  </si>
  <si>
    <t>Axis.3</t>
  </si>
  <si>
    <t>Axis.2</t>
  </si>
  <si>
    <t>Axis.10</t>
  </si>
  <si>
    <t>w</t>
  </si>
  <si>
    <t>A1</t>
  </si>
  <si>
    <t>A2</t>
  </si>
  <si>
    <t>A3</t>
  </si>
  <si>
    <t>Axis.10*Axis.3</t>
  </si>
  <si>
    <t>Axis.3 (Local)</t>
  </si>
  <si>
    <t>Axis.2 (Local)</t>
  </si>
  <si>
    <t>Axis.10 (Local)</t>
  </si>
  <si>
    <t>A4  (Local)</t>
  </si>
  <si>
    <t>(Axis.10*Axis.3)*Axis.2</t>
  </si>
  <si>
    <t>Tran Axis.10</t>
  </si>
  <si>
    <t>Tran Axis.2</t>
  </si>
  <si>
    <t>Tran Axis.3</t>
  </si>
  <si>
    <t>A4 rev</t>
  </si>
  <si>
    <t>A3+A4 rev</t>
  </si>
  <si>
    <t>A3 rev</t>
  </si>
  <si>
    <t>A2+A3 rev</t>
  </si>
  <si>
    <t>A2 rev</t>
  </si>
  <si>
    <t>A1+A2 rev</t>
  </si>
  <si>
    <t>M1R</t>
  </si>
  <si>
    <t>M1T</t>
  </si>
  <si>
    <t>M2R</t>
  </si>
  <si>
    <t>M2T</t>
  </si>
  <si>
    <t>M2R*M1R</t>
  </si>
  <si>
    <t>M1RTr</t>
  </si>
  <si>
    <t>good</t>
  </si>
  <si>
    <t>???</t>
  </si>
  <si>
    <t>M1RTranp*M2T</t>
  </si>
  <si>
    <t>M1RTranp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</si>
</sst>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"/>
    <numFmt numFmtId="165" formatCode="0.0000"/>
  </numFmts>
  <fonts count="10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charset val="238"/>
      <scheme val="minor"/>
    </font>
    <font>
      <sz val="16"/>
      <color indexed="81"/>
      <name val="Tahoma"/>
      <family val="2"/>
      <charset val="238"/>
    </font>
    <font>
      <sz val="1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4" fillId="0" borderId="0" applyNumberFormat="0" applyFill="0" applyBorder="0" applyAlignment="0" applyProtection="0"/>
  </cellStyleXfs>
  <cellXfs count="136">
    <xf numFmtId="0" fontId="0" fillId="0" borderId="0" xfId="0"/>
    <xf numFmtId="0" fontId="0" fillId="0" borderId="1" xfId="0" applyBorder="1"/>
    <xf numFmtId="0" fontId="0" fillId="0" borderId="0" xfId="0" applyFont="1" applyAlignment="1" applyProtection="1"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0"/>
    <xf numFmtId="0" fontId="0" fillId="0" borderId="0" xfId="0"/>
    <xf numFmtId="164" fontId="0" fillId="0" borderId="1" xfId="0" applyNumberFormat="1" applyBorder="1"/>
    <xf numFmtId="0" fontId="0" fillId="0" borderId="0" xfId="0"/>
    <xf numFmtId="0" fontId="1" fillId="0" borderId="1" xfId="0" applyFont="1" applyBorder="1" applyAlignment="1">
      <alignment horizontal="right"/>
    </xf>
    <xf numFmtId="0" fontId="1" fillId="0" borderId="1" xfId="0" applyFont="1" applyBorder="1" applyAlignment="1">
      <alignment vertical="center" shrinkToFit="1"/>
    </xf>
    <xf numFmtId="0" fontId="0" fillId="0" borderId="1" xfId="0" applyBorder="1" applyAlignment="1">
      <alignment horizontal="right" vertical="center"/>
    </xf>
    <xf numFmtId="0" fontId="0" fillId="0" borderId="0" xfId="0"/>
    <xf numFmtId="2" fontId="1" fillId="0" borderId="0" xfId="0" applyNumberFormat="1" applyFont="1" applyBorder="1" applyAlignment="1">
      <alignment horizontal="center"/>
    </xf>
    <xf numFmtId="0" fontId="0" fillId="0" borderId="0" xfId="0"/>
    <xf numFmtId="0" fontId="1" fillId="0" borderId="2" xfId="0" applyFont="1" applyBorder="1"/>
    <xf numFmtId="2" fontId="2" fillId="3" borderId="1" xfId="0" applyNumberFormat="1" applyFont="1" applyFill="1" applyBorder="1" applyAlignment="1">
      <alignment horizontal="center"/>
    </xf>
    <xf numFmtId="2" fontId="1" fillId="4" borderId="1" xfId="0" applyNumberFormat="1" applyFont="1" applyFill="1" applyBorder="1" applyAlignment="1">
      <alignment horizontal="center"/>
    </xf>
    <xf numFmtId="0" fontId="1" fillId="0" borderId="0" xfId="0" applyFont="1" applyBorder="1" applyAlignment="1">
      <alignment vertical="center" shrinkToFit="1"/>
    </xf>
    <xf numFmtId="0" fontId="0" fillId="0" borderId="0" xfId="0"/>
    <xf numFmtId="164" fontId="0" fillId="5" borderId="1" xfId="0" quotePrefix="1" applyNumberFormat="1" applyFill="1" applyBorder="1"/>
    <xf numFmtId="164" fontId="0" fillId="5" borderId="1" xfId="0" applyNumberFormat="1" applyFill="1" applyBorder="1"/>
    <xf numFmtId="0" fontId="0" fillId="0" borderId="12" xfId="0" applyBorder="1"/>
    <xf numFmtId="0" fontId="0" fillId="0" borderId="15" xfId="0" applyBorder="1"/>
    <xf numFmtId="0" fontId="0" fillId="0" borderId="0" xfId="0" applyBorder="1"/>
    <xf numFmtId="0" fontId="0" fillId="0" borderId="0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6" xfId="0" applyBorder="1"/>
    <xf numFmtId="0" fontId="1" fillId="0" borderId="15" xfId="0" applyFont="1" applyBorder="1" applyAlignment="1">
      <alignment vertical="center" shrinkToFit="1"/>
    </xf>
    <xf numFmtId="0" fontId="0" fillId="0" borderId="16" xfId="0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1" xfId="0" applyNumberFormat="1" applyBorder="1"/>
    <xf numFmtId="0" fontId="0" fillId="0" borderId="0" xfId="0" applyNumberFormat="1"/>
    <xf numFmtId="0" fontId="0" fillId="0" borderId="0" xfId="0" applyBorder="1" applyAlignment="1"/>
    <xf numFmtId="0" fontId="0" fillId="0" borderId="0" xfId="0" applyAlignment="1"/>
    <xf numFmtId="0" fontId="0" fillId="6" borderId="20" xfId="0" applyFill="1" applyBorder="1"/>
    <xf numFmtId="0" fontId="0" fillId="6" borderId="21" xfId="0" applyFill="1" applyBorder="1"/>
    <xf numFmtId="0" fontId="0" fillId="6" borderId="22" xfId="0" applyFill="1" applyBorder="1"/>
    <xf numFmtId="0" fontId="0" fillId="6" borderId="23" xfId="0" applyFill="1" applyBorder="1"/>
    <xf numFmtId="0" fontId="0" fillId="6" borderId="1" xfId="0" applyFill="1" applyBorder="1"/>
    <xf numFmtId="0" fontId="0" fillId="6" borderId="24" xfId="0" applyFill="1" applyBorder="1"/>
    <xf numFmtId="0" fontId="0" fillId="6" borderId="25" xfId="0" applyFill="1" applyBorder="1"/>
    <xf numFmtId="0" fontId="0" fillId="6" borderId="26" xfId="0" applyFill="1" applyBorder="1"/>
    <xf numFmtId="0" fontId="0" fillId="6" borderId="27" xfId="0" applyFill="1" applyBorder="1"/>
    <xf numFmtId="0" fontId="0" fillId="0" borderId="0" xfId="0" applyBorder="1"/>
    <xf numFmtId="0" fontId="0" fillId="0" borderId="0" xfId="0" applyBorder="1" applyAlignment="1">
      <alignment horizontal="left"/>
    </xf>
    <xf numFmtId="0" fontId="0" fillId="0" borderId="0" xfId="0" applyFill="1" applyBorder="1"/>
    <xf numFmtId="0" fontId="0" fillId="6" borderId="0" xfId="0" applyFill="1"/>
    <xf numFmtId="0" fontId="0" fillId="6" borderId="0" xfId="0" applyFill="1" applyBorder="1"/>
    <xf numFmtId="0" fontId="0" fillId="6" borderId="0" xfId="0" applyNumberFormat="1" applyFill="1" applyBorder="1"/>
    <xf numFmtId="0" fontId="0" fillId="6" borderId="0" xfId="0" applyNumberFormat="1" applyFill="1"/>
    <xf numFmtId="0" fontId="0" fillId="6" borderId="1" xfId="0" applyNumberFormat="1" applyFill="1" applyBorder="1"/>
    <xf numFmtId="0" fontId="0" fillId="0" borderId="0" xfId="0" applyFill="1" applyBorder="1" applyAlignment="1"/>
    <xf numFmtId="0" fontId="0" fillId="0" borderId="0" xfId="0" applyFill="1"/>
    <xf numFmtId="0" fontId="0" fillId="0" borderId="1" xfId="0" applyNumberFormat="1" applyFill="1" applyBorder="1"/>
    <xf numFmtId="0" fontId="0" fillId="0" borderId="0" xfId="0" applyNumberFormat="1" applyFill="1" applyBorder="1"/>
    <xf numFmtId="0" fontId="0" fillId="0" borderId="0" xfId="0" applyNumberFormat="1" applyFill="1"/>
    <xf numFmtId="0" fontId="0" fillId="7" borderId="0" xfId="0" applyFill="1"/>
    <xf numFmtId="0" fontId="6" fillId="8" borderId="0" xfId="0" applyFont="1" applyFill="1"/>
    <xf numFmtId="0" fontId="0" fillId="0" borderId="0" xfId="0" applyBorder="1"/>
    <xf numFmtId="0" fontId="0" fillId="0" borderId="16" xfId="0" applyBorder="1"/>
    <xf numFmtId="0" fontId="0" fillId="0" borderId="0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0" xfId="0" applyBorder="1" applyAlignment="1">
      <alignment horizontal="center" vertical="center"/>
    </xf>
    <xf numFmtId="0" fontId="0" fillId="0" borderId="12" xfId="0" applyFont="1" applyBorder="1" applyAlignment="1" applyProtection="1">
      <protection locked="0"/>
    </xf>
    <xf numFmtId="0" fontId="0" fillId="0" borderId="13" xfId="0" applyBorder="1"/>
    <xf numFmtId="0" fontId="0" fillId="0" borderId="14" xfId="0" applyBorder="1"/>
    <xf numFmtId="0" fontId="0" fillId="0" borderId="15" xfId="0" applyFont="1" applyBorder="1" applyAlignment="1" applyProtection="1">
      <alignment vertical="center"/>
      <protection locked="0"/>
    </xf>
    <xf numFmtId="0" fontId="0" fillId="0" borderId="15" xfId="0" applyFont="1" applyBorder="1" applyAlignment="1" applyProtection="1">
      <protection locked="0"/>
    </xf>
    <xf numFmtId="0" fontId="0" fillId="0" borderId="0" xfId="0" applyNumberFormat="1" applyBorder="1"/>
    <xf numFmtId="0" fontId="0" fillId="0" borderId="24" xfId="0" applyNumberFormat="1" applyBorder="1"/>
    <xf numFmtId="0" fontId="0" fillId="7" borderId="1" xfId="0" applyNumberFormat="1" applyFill="1" applyBorder="1"/>
    <xf numFmtId="0" fontId="0" fillId="0" borderId="1" xfId="0" applyFill="1" applyBorder="1"/>
    <xf numFmtId="0" fontId="0" fillId="7" borderId="1" xfId="0" applyFill="1" applyBorder="1"/>
    <xf numFmtId="0" fontId="0" fillId="0" borderId="0" xfId="0" applyAlignment="1">
      <alignment horizontal="center" vertical="center"/>
    </xf>
    <xf numFmtId="0" fontId="0" fillId="7" borderId="0" xfId="0" applyFill="1" applyBorder="1"/>
    <xf numFmtId="0" fontId="0" fillId="9" borderId="1" xfId="0" applyFill="1" applyBorder="1"/>
    <xf numFmtId="0" fontId="0" fillId="9" borderId="0" xfId="0" applyFill="1"/>
    <xf numFmtId="0" fontId="7" fillId="9" borderId="0" xfId="0" applyFont="1" applyFill="1"/>
    <xf numFmtId="0" fontId="0" fillId="9" borderId="29" xfId="0" applyFill="1" applyBorder="1"/>
    <xf numFmtId="0" fontId="0" fillId="9" borderId="30" xfId="0" applyFill="1" applyBorder="1"/>
    <xf numFmtId="0" fontId="0" fillId="9" borderId="31" xfId="0" applyFill="1" applyBorder="1"/>
    <xf numFmtId="0" fontId="0" fillId="9" borderId="23" xfId="0" applyFill="1" applyBorder="1"/>
    <xf numFmtId="0" fontId="0" fillId="9" borderId="24" xfId="0" applyFill="1" applyBorder="1"/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/>
    <xf numFmtId="0" fontId="0" fillId="7" borderId="0" xfId="0" applyNumberFormat="1" applyFill="1" applyBorder="1"/>
    <xf numFmtId="0" fontId="0" fillId="10" borderId="0" xfId="0" applyFill="1"/>
    <xf numFmtId="0" fontId="0" fillId="5" borderId="0" xfId="0" applyFill="1"/>
    <xf numFmtId="0" fontId="0" fillId="0" borderId="0" xfId="0" applyBorder="1" applyAlignment="1">
      <alignment horizontal="left"/>
    </xf>
    <xf numFmtId="0" fontId="0" fillId="0" borderId="0" xfId="0" applyBorder="1"/>
    <xf numFmtId="0" fontId="0" fillId="0" borderId="16" xfId="0" applyBorder="1"/>
    <xf numFmtId="0" fontId="8" fillId="0" borderId="0" xfId="0" applyFont="1"/>
    <xf numFmtId="2" fontId="8" fillId="0" borderId="0" xfId="0" applyNumberFormat="1" applyFont="1"/>
    <xf numFmtId="2" fontId="8" fillId="11" borderId="0" xfId="0" applyNumberFormat="1" applyFont="1" applyFill="1"/>
    <xf numFmtId="164" fontId="9" fillId="12" borderId="0" xfId="0" applyNumberFormat="1" applyFont="1" applyFill="1"/>
    <xf numFmtId="164" fontId="0" fillId="0" borderId="0" xfId="0" applyNumberFormat="1"/>
    <xf numFmtId="165" fontId="8" fillId="11" borderId="0" xfId="0" applyNumberFormat="1" applyFont="1" applyFill="1"/>
    <xf numFmtId="0" fontId="0" fillId="0" borderId="0" xfId="0" applyBorder="1" applyAlignment="1">
      <alignment horizontal="left"/>
    </xf>
    <xf numFmtId="0" fontId="0" fillId="0" borderId="0" xfId="0" applyBorder="1"/>
    <xf numFmtId="0" fontId="0" fillId="0" borderId="16" xfId="0" applyBorder="1"/>
    <xf numFmtId="165" fontId="6" fillId="0" borderId="0" xfId="0" applyNumberFormat="1" applyFont="1"/>
    <xf numFmtId="165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8" xfId="0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4" fillId="0" borderId="0" xfId="2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0" xfId="0" applyBorder="1"/>
    <xf numFmtId="0" fontId="0" fillId="0" borderId="14" xfId="0" applyBorder="1" applyAlignment="1">
      <alignment horizontal="left"/>
    </xf>
    <xf numFmtId="0" fontId="0" fillId="0" borderId="16" xfId="0" applyBorder="1"/>
    <xf numFmtId="0" fontId="0" fillId="0" borderId="16" xfId="0" applyBorder="1" applyAlignment="1">
      <alignment horizontal="left"/>
    </xf>
    <xf numFmtId="0" fontId="0" fillId="0" borderId="0" xfId="0" applyAlignment="1">
      <alignment horizontal="center"/>
    </xf>
    <xf numFmtId="0" fontId="7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9" fillId="12" borderId="0" xfId="0" applyNumberFormat="1" applyFont="1" applyFill="1"/>
  </cellXfs>
  <cellStyles count="3">
    <cellStyle name="Hiperłącze" xfId="2" builtinId="8"/>
    <cellStyle name="Normalny" xfId="0" builtinId="0"/>
    <cellStyle name="Normalny 2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40821</xdr:colOff>
      <xdr:row>0</xdr:row>
      <xdr:rowOff>68035</xdr:rowOff>
    </xdr:from>
    <xdr:to>
      <xdr:col>22</xdr:col>
      <xdr:colOff>103494</xdr:colOff>
      <xdr:row>11</xdr:row>
      <xdr:rowOff>106135</xdr:rowOff>
    </xdr:to>
    <xdr:pic>
      <xdr:nvPicPr>
        <xdr:cNvPr id="2" name="Obraz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08671" y="68035"/>
          <a:ext cx="5460547" cy="2162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381000</xdr:colOff>
      <xdr:row>11</xdr:row>
      <xdr:rowOff>163285</xdr:rowOff>
    </xdr:from>
    <xdr:to>
      <xdr:col>19</xdr:col>
      <xdr:colOff>394606</xdr:colOff>
      <xdr:row>20</xdr:row>
      <xdr:rowOff>54427</xdr:rowOff>
    </xdr:to>
    <xdr:sp macro="" textlink="">
      <xdr:nvSpPr>
        <xdr:cNvPr id="3" name="Strzałka wygięta w górę 2"/>
        <xdr:cNvSpPr/>
      </xdr:nvSpPr>
      <xdr:spPr>
        <a:xfrm flipH="1">
          <a:off x="11725275" y="2287360"/>
          <a:ext cx="670831" cy="1624692"/>
        </a:xfrm>
        <a:prstGeom prst="bent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oneCell">
    <xdr:from>
      <xdr:col>15</xdr:col>
      <xdr:colOff>68036</xdr:colOff>
      <xdr:row>22</xdr:row>
      <xdr:rowOff>54428</xdr:rowOff>
    </xdr:from>
    <xdr:to>
      <xdr:col>22</xdr:col>
      <xdr:colOff>35459</xdr:colOff>
      <xdr:row>33</xdr:row>
      <xdr:rowOff>19049</xdr:rowOff>
    </xdr:to>
    <xdr:pic>
      <xdr:nvPicPr>
        <xdr:cNvPr id="4" name="Obraz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5886" y="4302578"/>
          <a:ext cx="5365297" cy="20601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451757</xdr:colOff>
      <xdr:row>33</xdr:row>
      <xdr:rowOff>166005</xdr:rowOff>
    </xdr:from>
    <xdr:to>
      <xdr:col>19</xdr:col>
      <xdr:colOff>465363</xdr:colOff>
      <xdr:row>42</xdr:row>
      <xdr:rowOff>70755</xdr:rowOff>
    </xdr:to>
    <xdr:sp macro="" textlink="">
      <xdr:nvSpPr>
        <xdr:cNvPr id="5" name="Strzałka wygięta w górę 4"/>
        <xdr:cNvSpPr/>
      </xdr:nvSpPr>
      <xdr:spPr>
        <a:xfrm flipH="1">
          <a:off x="11796032" y="6509655"/>
          <a:ext cx="670831" cy="1638300"/>
        </a:xfrm>
        <a:prstGeom prst="bent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oneCell">
    <xdr:from>
      <xdr:col>13</xdr:col>
      <xdr:colOff>152400</xdr:colOff>
      <xdr:row>43</xdr:row>
      <xdr:rowOff>114300</xdr:rowOff>
    </xdr:from>
    <xdr:to>
      <xdr:col>18</xdr:col>
      <xdr:colOff>584763</xdr:colOff>
      <xdr:row>51</xdr:row>
      <xdr:rowOff>95251</xdr:rowOff>
    </xdr:to>
    <xdr:pic>
      <xdr:nvPicPr>
        <xdr:cNvPr id="8" name="Obraz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05800" y="8391525"/>
          <a:ext cx="4101169" cy="15049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419100</xdr:colOff>
      <xdr:row>43</xdr:row>
      <xdr:rowOff>133350</xdr:rowOff>
    </xdr:from>
    <xdr:to>
      <xdr:col>13</xdr:col>
      <xdr:colOff>4213</xdr:colOff>
      <xdr:row>51</xdr:row>
      <xdr:rowOff>47625</xdr:rowOff>
    </xdr:to>
    <xdr:pic>
      <xdr:nvPicPr>
        <xdr:cNvPr id="9" name="Obraz 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57675" y="8410575"/>
          <a:ext cx="3899938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66675</xdr:colOff>
      <xdr:row>43</xdr:row>
      <xdr:rowOff>104775</xdr:rowOff>
    </xdr:from>
    <xdr:to>
      <xdr:col>6</xdr:col>
      <xdr:colOff>297134</xdr:colOff>
      <xdr:row>51</xdr:row>
      <xdr:rowOff>57150</xdr:rowOff>
    </xdr:to>
    <xdr:pic>
      <xdr:nvPicPr>
        <xdr:cNvPr id="10" name="Obraz 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8382000"/>
          <a:ext cx="4069034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76200</xdr:colOff>
      <xdr:row>46</xdr:row>
      <xdr:rowOff>9525</xdr:rowOff>
    </xdr:from>
    <xdr:to>
      <xdr:col>19</xdr:col>
      <xdr:colOff>438149</xdr:colOff>
      <xdr:row>50</xdr:row>
      <xdr:rowOff>9525</xdr:rowOff>
    </xdr:to>
    <xdr:sp macro="" textlink="">
      <xdr:nvSpPr>
        <xdr:cNvPr id="12" name="Prostokąt 11"/>
        <xdr:cNvSpPr/>
      </xdr:nvSpPr>
      <xdr:spPr>
        <a:xfrm>
          <a:off x="8229600" y="8858250"/>
          <a:ext cx="4210049" cy="762000"/>
        </a:xfrm>
        <a:prstGeom prst="rect">
          <a:avLst/>
        </a:prstGeom>
        <a:noFill/>
        <a:ln w="762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oneCell">
    <xdr:from>
      <xdr:col>20</xdr:col>
      <xdr:colOff>85725</xdr:colOff>
      <xdr:row>44</xdr:row>
      <xdr:rowOff>47625</xdr:rowOff>
    </xdr:from>
    <xdr:to>
      <xdr:col>23</xdr:col>
      <xdr:colOff>410134</xdr:colOff>
      <xdr:row>56</xdr:row>
      <xdr:rowOff>28575</xdr:rowOff>
    </xdr:to>
    <xdr:pic>
      <xdr:nvPicPr>
        <xdr:cNvPr id="13" name="Obraz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96825" y="8515350"/>
          <a:ext cx="2505075" cy="2266950"/>
        </a:xfrm>
        <a:prstGeom prst="rect">
          <a:avLst/>
        </a:prstGeom>
        <a:noFill/>
        <a:ln w="76200">
          <a:solidFill>
            <a:srgbClr val="00B05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28576</xdr:colOff>
      <xdr:row>50</xdr:row>
      <xdr:rowOff>104775</xdr:rowOff>
    </xdr:from>
    <xdr:to>
      <xdr:col>13</xdr:col>
      <xdr:colOff>180975</xdr:colOff>
      <xdr:row>60</xdr:row>
      <xdr:rowOff>57150</xdr:rowOff>
    </xdr:to>
    <xdr:cxnSp macro="">
      <xdr:nvCxnSpPr>
        <xdr:cNvPr id="15" name="Łącznik prosty ze strzałką 14"/>
        <xdr:cNvCxnSpPr/>
      </xdr:nvCxnSpPr>
      <xdr:spPr>
        <a:xfrm flipH="1">
          <a:off x="6962776" y="9715500"/>
          <a:ext cx="1371599" cy="1685925"/>
        </a:xfrm>
        <a:prstGeom prst="straightConnector1">
          <a:avLst/>
        </a:prstGeom>
        <a:noFill/>
        <a:ln w="76200">
          <a:solidFill>
            <a:srgbClr val="00B050"/>
          </a:solidFill>
          <a:head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cxnSp>
    <xdr:clientData/>
  </xdr:twoCellAnchor>
  <xdr:twoCellAnchor>
    <xdr:from>
      <xdr:col>4</xdr:col>
      <xdr:colOff>390525</xdr:colOff>
      <xdr:row>74</xdr:row>
      <xdr:rowOff>152400</xdr:rowOff>
    </xdr:from>
    <xdr:to>
      <xdr:col>22</xdr:col>
      <xdr:colOff>190500</xdr:colOff>
      <xdr:row>74</xdr:row>
      <xdr:rowOff>180975</xdr:rowOff>
    </xdr:to>
    <xdr:cxnSp macro="">
      <xdr:nvCxnSpPr>
        <xdr:cNvPr id="27" name="Łącznik prosty ze strzałką 26"/>
        <xdr:cNvCxnSpPr/>
      </xdr:nvCxnSpPr>
      <xdr:spPr>
        <a:xfrm flipH="1">
          <a:off x="2971800" y="14173200"/>
          <a:ext cx="11049000" cy="28575"/>
        </a:xfrm>
        <a:prstGeom prst="straightConnector1">
          <a:avLst/>
        </a:prstGeom>
        <a:noFill/>
        <a:ln w="76200">
          <a:solidFill>
            <a:srgbClr val="00B050"/>
          </a:solidFill>
          <a:headEnd type="non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cxnSp>
    <xdr:clientData/>
  </xdr:twoCellAnchor>
  <xdr:twoCellAnchor>
    <xdr:from>
      <xdr:col>22</xdr:col>
      <xdr:colOff>161925</xdr:colOff>
      <xdr:row>57</xdr:row>
      <xdr:rowOff>47625</xdr:rowOff>
    </xdr:from>
    <xdr:to>
      <xdr:col>22</xdr:col>
      <xdr:colOff>180975</xdr:colOff>
      <xdr:row>74</xdr:row>
      <xdr:rowOff>123825</xdr:rowOff>
    </xdr:to>
    <xdr:cxnSp macro="">
      <xdr:nvCxnSpPr>
        <xdr:cNvPr id="30" name="Łącznik prosty ze strzałką 29"/>
        <xdr:cNvCxnSpPr/>
      </xdr:nvCxnSpPr>
      <xdr:spPr>
        <a:xfrm>
          <a:off x="13992225" y="10801350"/>
          <a:ext cx="19050" cy="3343275"/>
        </a:xfrm>
        <a:prstGeom prst="straightConnector1">
          <a:avLst/>
        </a:prstGeom>
        <a:noFill/>
        <a:ln w="76200">
          <a:solidFill>
            <a:srgbClr val="00B050"/>
          </a:solidFill>
          <a:head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cxnSp>
    <xdr:clientData/>
  </xdr:twoCellAnchor>
  <xdr:twoCellAnchor editAs="oneCell">
    <xdr:from>
      <xdr:col>22</xdr:col>
      <xdr:colOff>371475</xdr:colOff>
      <xdr:row>59</xdr:row>
      <xdr:rowOff>152400</xdr:rowOff>
    </xdr:from>
    <xdr:to>
      <xdr:col>27</xdr:col>
      <xdr:colOff>598955</xdr:colOff>
      <xdr:row>78</xdr:row>
      <xdr:rowOff>76200</xdr:rowOff>
    </xdr:to>
    <xdr:pic>
      <xdr:nvPicPr>
        <xdr:cNvPr id="14" name="Obraz 13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01775" y="11306175"/>
          <a:ext cx="4248150" cy="3552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22</xdr:col>
      <xdr:colOff>438150</xdr:colOff>
      <xdr:row>71</xdr:row>
      <xdr:rowOff>66675</xdr:rowOff>
    </xdr:from>
    <xdr:to>
      <xdr:col>29</xdr:col>
      <xdr:colOff>380999</xdr:colOff>
      <xdr:row>75</xdr:row>
      <xdr:rowOff>142875</xdr:rowOff>
    </xdr:to>
    <xdr:sp macro="" textlink="">
      <xdr:nvSpPr>
        <xdr:cNvPr id="16" name="Prostokąt 15"/>
        <xdr:cNvSpPr/>
      </xdr:nvSpPr>
      <xdr:spPr>
        <a:xfrm>
          <a:off x="14268450" y="13515975"/>
          <a:ext cx="4210049" cy="838200"/>
        </a:xfrm>
        <a:prstGeom prst="rect">
          <a:avLst/>
        </a:prstGeom>
        <a:noFill/>
        <a:ln w="762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20</xdr:col>
      <xdr:colOff>552450</xdr:colOff>
      <xdr:row>48</xdr:row>
      <xdr:rowOff>123824</xdr:rowOff>
    </xdr:from>
    <xdr:to>
      <xdr:col>24</xdr:col>
      <xdr:colOff>9526</xdr:colOff>
      <xdr:row>53</xdr:row>
      <xdr:rowOff>76199</xdr:rowOff>
    </xdr:to>
    <xdr:sp macro="" textlink="">
      <xdr:nvSpPr>
        <xdr:cNvPr id="17" name="Prostokąt 16"/>
        <xdr:cNvSpPr/>
      </xdr:nvSpPr>
      <xdr:spPr>
        <a:xfrm>
          <a:off x="13163550" y="9353549"/>
          <a:ext cx="1895476" cy="904875"/>
        </a:xfrm>
        <a:prstGeom prst="rect">
          <a:avLst/>
        </a:prstGeom>
        <a:noFill/>
        <a:ln w="762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40821</xdr:colOff>
      <xdr:row>0</xdr:row>
      <xdr:rowOff>68035</xdr:rowOff>
    </xdr:from>
    <xdr:to>
      <xdr:col>23</xdr:col>
      <xdr:colOff>529318</xdr:colOff>
      <xdr:row>11</xdr:row>
      <xdr:rowOff>106135</xdr:rowOff>
    </xdr:to>
    <xdr:pic>
      <xdr:nvPicPr>
        <xdr:cNvPr id="2" name="Obraz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0" y="68035"/>
          <a:ext cx="5475514" cy="21744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381000</xdr:colOff>
      <xdr:row>11</xdr:row>
      <xdr:rowOff>163285</xdr:rowOff>
    </xdr:from>
    <xdr:to>
      <xdr:col>19</xdr:col>
      <xdr:colOff>394606</xdr:colOff>
      <xdr:row>20</xdr:row>
      <xdr:rowOff>54427</xdr:rowOff>
    </xdr:to>
    <xdr:sp macro="" textlink="">
      <xdr:nvSpPr>
        <xdr:cNvPr id="10" name="Strzałka wygięta w górę 9"/>
        <xdr:cNvSpPr/>
      </xdr:nvSpPr>
      <xdr:spPr>
        <a:xfrm flipH="1">
          <a:off x="11742964" y="2299606"/>
          <a:ext cx="625928" cy="1632857"/>
        </a:xfrm>
        <a:prstGeom prst="bent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oneCell">
    <xdr:from>
      <xdr:col>15</xdr:col>
      <xdr:colOff>68036</xdr:colOff>
      <xdr:row>22</xdr:row>
      <xdr:rowOff>54428</xdr:rowOff>
    </xdr:from>
    <xdr:to>
      <xdr:col>23</xdr:col>
      <xdr:colOff>461283</xdr:colOff>
      <xdr:row>33</xdr:row>
      <xdr:rowOff>19049</xdr:rowOff>
    </xdr:to>
    <xdr:pic>
      <xdr:nvPicPr>
        <xdr:cNvPr id="11" name="Obraz 10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52215" y="4313464"/>
          <a:ext cx="5380264" cy="20601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451757</xdr:colOff>
      <xdr:row>33</xdr:row>
      <xdr:rowOff>166005</xdr:rowOff>
    </xdr:from>
    <xdr:to>
      <xdr:col>19</xdr:col>
      <xdr:colOff>465363</xdr:colOff>
      <xdr:row>42</xdr:row>
      <xdr:rowOff>70755</xdr:rowOff>
    </xdr:to>
    <xdr:sp macro="" textlink="">
      <xdr:nvSpPr>
        <xdr:cNvPr id="12" name="Strzałka wygięta w górę 11"/>
        <xdr:cNvSpPr/>
      </xdr:nvSpPr>
      <xdr:spPr>
        <a:xfrm flipH="1">
          <a:off x="11813721" y="6520541"/>
          <a:ext cx="625928" cy="1632857"/>
        </a:xfrm>
        <a:prstGeom prst="bent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oneCell">
    <xdr:from>
      <xdr:col>2</xdr:col>
      <xdr:colOff>628650</xdr:colOff>
      <xdr:row>40</xdr:row>
      <xdr:rowOff>57150</xdr:rowOff>
    </xdr:from>
    <xdr:to>
      <xdr:col>11</xdr:col>
      <xdr:colOff>409575</xdr:colOff>
      <xdr:row>51</xdr:row>
      <xdr:rowOff>9525</xdr:rowOff>
    </xdr:to>
    <xdr:pic>
      <xdr:nvPicPr>
        <xdr:cNvPr id="6" name="Obraz 5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7753350"/>
          <a:ext cx="5448300" cy="2057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40821</xdr:colOff>
      <xdr:row>0</xdr:row>
      <xdr:rowOff>68035</xdr:rowOff>
    </xdr:from>
    <xdr:to>
      <xdr:col>23</xdr:col>
      <xdr:colOff>529318</xdr:colOff>
      <xdr:row>11</xdr:row>
      <xdr:rowOff>106135</xdr:rowOff>
    </xdr:to>
    <xdr:pic>
      <xdr:nvPicPr>
        <xdr:cNvPr id="2" name="Obraz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08671" y="68035"/>
          <a:ext cx="5460547" cy="2162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381000</xdr:colOff>
      <xdr:row>11</xdr:row>
      <xdr:rowOff>163285</xdr:rowOff>
    </xdr:from>
    <xdr:to>
      <xdr:col>19</xdr:col>
      <xdr:colOff>394606</xdr:colOff>
      <xdr:row>20</xdr:row>
      <xdr:rowOff>54427</xdr:rowOff>
    </xdr:to>
    <xdr:sp macro="" textlink="">
      <xdr:nvSpPr>
        <xdr:cNvPr id="3" name="Strzałka wygięta w górę 2"/>
        <xdr:cNvSpPr/>
      </xdr:nvSpPr>
      <xdr:spPr>
        <a:xfrm flipH="1">
          <a:off x="11725275" y="2287360"/>
          <a:ext cx="670831" cy="1624692"/>
        </a:xfrm>
        <a:prstGeom prst="bent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oneCell">
    <xdr:from>
      <xdr:col>15</xdr:col>
      <xdr:colOff>68036</xdr:colOff>
      <xdr:row>22</xdr:row>
      <xdr:rowOff>54428</xdr:rowOff>
    </xdr:from>
    <xdr:to>
      <xdr:col>23</xdr:col>
      <xdr:colOff>461283</xdr:colOff>
      <xdr:row>33</xdr:row>
      <xdr:rowOff>19049</xdr:rowOff>
    </xdr:to>
    <xdr:pic>
      <xdr:nvPicPr>
        <xdr:cNvPr id="4" name="Obraz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5886" y="4302578"/>
          <a:ext cx="5365297" cy="20601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451757</xdr:colOff>
      <xdr:row>33</xdr:row>
      <xdr:rowOff>166005</xdr:rowOff>
    </xdr:from>
    <xdr:to>
      <xdr:col>19</xdr:col>
      <xdr:colOff>465363</xdr:colOff>
      <xdr:row>42</xdr:row>
      <xdr:rowOff>70755</xdr:rowOff>
    </xdr:to>
    <xdr:sp macro="" textlink="">
      <xdr:nvSpPr>
        <xdr:cNvPr id="5" name="Strzałka wygięta w górę 4"/>
        <xdr:cNvSpPr/>
      </xdr:nvSpPr>
      <xdr:spPr>
        <a:xfrm flipH="1">
          <a:off x="11796032" y="6509655"/>
          <a:ext cx="670831" cy="1638300"/>
        </a:xfrm>
        <a:prstGeom prst="bent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oneCell">
    <xdr:from>
      <xdr:col>2</xdr:col>
      <xdr:colOff>628650</xdr:colOff>
      <xdr:row>40</xdr:row>
      <xdr:rowOff>57150</xdr:rowOff>
    </xdr:from>
    <xdr:to>
      <xdr:col>11</xdr:col>
      <xdr:colOff>409575</xdr:colOff>
      <xdr:row>51</xdr:row>
      <xdr:rowOff>9525</xdr:rowOff>
    </xdr:to>
    <xdr:pic>
      <xdr:nvPicPr>
        <xdr:cNvPr id="6" name="Obraz 5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7753350"/>
          <a:ext cx="5448300" cy="2057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409575</xdr:colOff>
      <xdr:row>77</xdr:row>
      <xdr:rowOff>133350</xdr:rowOff>
    </xdr:from>
    <xdr:to>
      <xdr:col>16</xdr:col>
      <xdr:colOff>466725</xdr:colOff>
      <xdr:row>90</xdr:row>
      <xdr:rowOff>19050</xdr:rowOff>
    </xdr:to>
    <xdr:pic>
      <xdr:nvPicPr>
        <xdr:cNvPr id="7" name="Obraz 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53375" y="14887575"/>
          <a:ext cx="25908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228600</xdr:colOff>
      <xdr:row>0</xdr:row>
      <xdr:rowOff>114300</xdr:rowOff>
    </xdr:from>
    <xdr:to>
      <xdr:col>26</xdr:col>
      <xdr:colOff>552450</xdr:colOff>
      <xdr:row>78</xdr:row>
      <xdr:rowOff>57150</xdr:rowOff>
    </xdr:to>
    <xdr:cxnSp macro="">
      <xdr:nvCxnSpPr>
        <xdr:cNvPr id="9" name="Łącznik prostoliniowy 8"/>
        <xdr:cNvCxnSpPr/>
      </xdr:nvCxnSpPr>
      <xdr:spPr>
        <a:xfrm>
          <a:off x="228600" y="114300"/>
          <a:ext cx="16592550" cy="14887575"/>
        </a:xfrm>
        <a:prstGeom prst="line">
          <a:avLst/>
        </a:prstGeom>
        <a:ln w="79375">
          <a:solidFill>
            <a:srgbClr val="FF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266700</xdr:colOff>
      <xdr:row>9</xdr:row>
      <xdr:rowOff>76200</xdr:rowOff>
    </xdr:from>
    <xdr:to>
      <xdr:col>25</xdr:col>
      <xdr:colOff>228600</xdr:colOff>
      <xdr:row>85</xdr:row>
      <xdr:rowOff>38100</xdr:rowOff>
    </xdr:to>
    <xdr:cxnSp macro="">
      <xdr:nvCxnSpPr>
        <xdr:cNvPr id="12" name="Łącznik prostoliniowy 11"/>
        <xdr:cNvCxnSpPr/>
      </xdr:nvCxnSpPr>
      <xdr:spPr>
        <a:xfrm flipV="1">
          <a:off x="1524000" y="1790700"/>
          <a:ext cx="14325600" cy="14439900"/>
        </a:xfrm>
        <a:prstGeom prst="line">
          <a:avLst/>
        </a:prstGeom>
        <a:ln w="79375">
          <a:solidFill>
            <a:srgbClr val="FF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40821</xdr:colOff>
      <xdr:row>0</xdr:row>
      <xdr:rowOff>68035</xdr:rowOff>
    </xdr:from>
    <xdr:to>
      <xdr:col>21</xdr:col>
      <xdr:colOff>551729</xdr:colOff>
      <xdr:row>11</xdr:row>
      <xdr:rowOff>106135</xdr:rowOff>
    </xdr:to>
    <xdr:pic>
      <xdr:nvPicPr>
        <xdr:cNvPr id="2" name="Obraz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8221" y="68035"/>
          <a:ext cx="5444298" cy="2162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381000</xdr:colOff>
      <xdr:row>11</xdr:row>
      <xdr:rowOff>163285</xdr:rowOff>
    </xdr:from>
    <xdr:to>
      <xdr:col>19</xdr:col>
      <xdr:colOff>394606</xdr:colOff>
      <xdr:row>20</xdr:row>
      <xdr:rowOff>54427</xdr:rowOff>
    </xdr:to>
    <xdr:sp macro="" textlink="">
      <xdr:nvSpPr>
        <xdr:cNvPr id="3" name="Strzałka wygięta w górę 2"/>
        <xdr:cNvSpPr/>
      </xdr:nvSpPr>
      <xdr:spPr>
        <a:xfrm flipH="1">
          <a:off x="12192000" y="2287360"/>
          <a:ext cx="889906" cy="1624692"/>
        </a:xfrm>
        <a:prstGeom prst="bent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oneCell">
    <xdr:from>
      <xdr:col>15</xdr:col>
      <xdr:colOff>68036</xdr:colOff>
      <xdr:row>22</xdr:row>
      <xdr:rowOff>54428</xdr:rowOff>
    </xdr:from>
    <xdr:to>
      <xdr:col>21</xdr:col>
      <xdr:colOff>483694</xdr:colOff>
      <xdr:row>33</xdr:row>
      <xdr:rowOff>19049</xdr:rowOff>
    </xdr:to>
    <xdr:pic>
      <xdr:nvPicPr>
        <xdr:cNvPr id="4" name="Obraz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45436" y="4302578"/>
          <a:ext cx="5349048" cy="20601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451757</xdr:colOff>
      <xdr:row>33</xdr:row>
      <xdr:rowOff>166005</xdr:rowOff>
    </xdr:from>
    <xdr:to>
      <xdr:col>19</xdr:col>
      <xdr:colOff>465363</xdr:colOff>
      <xdr:row>42</xdr:row>
      <xdr:rowOff>70755</xdr:rowOff>
    </xdr:to>
    <xdr:sp macro="" textlink="">
      <xdr:nvSpPr>
        <xdr:cNvPr id="5" name="Strzałka wygięta w górę 4"/>
        <xdr:cNvSpPr/>
      </xdr:nvSpPr>
      <xdr:spPr>
        <a:xfrm flipH="1">
          <a:off x="12262757" y="6509655"/>
          <a:ext cx="889906" cy="1638300"/>
        </a:xfrm>
        <a:prstGeom prst="bent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oneCell">
    <xdr:from>
      <xdr:col>13</xdr:col>
      <xdr:colOff>152400</xdr:colOff>
      <xdr:row>43</xdr:row>
      <xdr:rowOff>114300</xdr:rowOff>
    </xdr:from>
    <xdr:to>
      <xdr:col>18</xdr:col>
      <xdr:colOff>338234</xdr:colOff>
      <xdr:row>51</xdr:row>
      <xdr:rowOff>95251</xdr:rowOff>
    </xdr:to>
    <xdr:pic>
      <xdr:nvPicPr>
        <xdr:cNvPr id="6" name="Obraz 5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05800" y="8391525"/>
          <a:ext cx="4089963" cy="15049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419100</xdr:colOff>
      <xdr:row>43</xdr:row>
      <xdr:rowOff>133350</xdr:rowOff>
    </xdr:from>
    <xdr:to>
      <xdr:col>12</xdr:col>
      <xdr:colOff>519684</xdr:colOff>
      <xdr:row>51</xdr:row>
      <xdr:rowOff>47625</xdr:rowOff>
    </xdr:to>
    <xdr:pic>
      <xdr:nvPicPr>
        <xdr:cNvPr id="7" name="Obraz 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57675" y="8410575"/>
          <a:ext cx="3899938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66675</xdr:colOff>
      <xdr:row>43</xdr:row>
      <xdr:rowOff>104775</xdr:rowOff>
    </xdr:from>
    <xdr:to>
      <xdr:col>6</xdr:col>
      <xdr:colOff>5781</xdr:colOff>
      <xdr:row>51</xdr:row>
      <xdr:rowOff>57150</xdr:rowOff>
    </xdr:to>
    <xdr:pic>
      <xdr:nvPicPr>
        <xdr:cNvPr id="8" name="Obraz 7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8382000"/>
          <a:ext cx="4069034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76200</xdr:colOff>
      <xdr:row>46</xdr:row>
      <xdr:rowOff>9525</xdr:rowOff>
    </xdr:from>
    <xdr:to>
      <xdr:col>19</xdr:col>
      <xdr:colOff>438149</xdr:colOff>
      <xdr:row>50</xdr:row>
      <xdr:rowOff>9525</xdr:rowOff>
    </xdr:to>
    <xdr:sp macro="" textlink="">
      <xdr:nvSpPr>
        <xdr:cNvPr id="9" name="Prostokąt 8"/>
        <xdr:cNvSpPr/>
      </xdr:nvSpPr>
      <xdr:spPr>
        <a:xfrm>
          <a:off x="8229600" y="8858250"/>
          <a:ext cx="4895849" cy="762000"/>
        </a:xfrm>
        <a:prstGeom prst="rect">
          <a:avLst/>
        </a:prstGeom>
        <a:noFill/>
        <a:ln w="762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oneCell">
    <xdr:from>
      <xdr:col>20</xdr:col>
      <xdr:colOff>85725</xdr:colOff>
      <xdr:row>44</xdr:row>
      <xdr:rowOff>47625</xdr:rowOff>
    </xdr:from>
    <xdr:to>
      <xdr:col>23</xdr:col>
      <xdr:colOff>410135</xdr:colOff>
      <xdr:row>56</xdr:row>
      <xdr:rowOff>28575</xdr:rowOff>
    </xdr:to>
    <xdr:pic>
      <xdr:nvPicPr>
        <xdr:cNvPr id="10" name="Obraz 9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8515350"/>
          <a:ext cx="2496109" cy="2266950"/>
        </a:xfrm>
        <a:prstGeom prst="rect">
          <a:avLst/>
        </a:prstGeom>
        <a:noFill/>
        <a:ln w="76200">
          <a:solidFill>
            <a:srgbClr val="00B05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28576</xdr:colOff>
      <xdr:row>50</xdr:row>
      <xdr:rowOff>104775</xdr:rowOff>
    </xdr:from>
    <xdr:to>
      <xdr:col>13</xdr:col>
      <xdr:colOff>180975</xdr:colOff>
      <xdr:row>60</xdr:row>
      <xdr:rowOff>57150</xdr:rowOff>
    </xdr:to>
    <xdr:cxnSp macro="">
      <xdr:nvCxnSpPr>
        <xdr:cNvPr id="11" name="Łącznik prosty ze strzałką 10"/>
        <xdr:cNvCxnSpPr/>
      </xdr:nvCxnSpPr>
      <xdr:spPr>
        <a:xfrm flipH="1">
          <a:off x="6962776" y="9715500"/>
          <a:ext cx="1371599" cy="1876425"/>
        </a:xfrm>
        <a:prstGeom prst="straightConnector1">
          <a:avLst/>
        </a:prstGeom>
        <a:noFill/>
        <a:ln w="76200">
          <a:solidFill>
            <a:srgbClr val="00B050"/>
          </a:solidFill>
          <a:head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cxnSp>
    <xdr:clientData/>
  </xdr:twoCellAnchor>
  <xdr:twoCellAnchor>
    <xdr:from>
      <xdr:col>4</xdr:col>
      <xdr:colOff>390525</xdr:colOff>
      <xdr:row>74</xdr:row>
      <xdr:rowOff>152400</xdr:rowOff>
    </xdr:from>
    <xdr:to>
      <xdr:col>22</xdr:col>
      <xdr:colOff>190500</xdr:colOff>
      <xdr:row>74</xdr:row>
      <xdr:rowOff>180975</xdr:rowOff>
    </xdr:to>
    <xdr:cxnSp macro="">
      <xdr:nvCxnSpPr>
        <xdr:cNvPr id="12" name="Łącznik prosty ze strzałką 11"/>
        <xdr:cNvCxnSpPr/>
      </xdr:nvCxnSpPr>
      <xdr:spPr>
        <a:xfrm flipH="1">
          <a:off x="2971800" y="14363700"/>
          <a:ext cx="12277725" cy="28575"/>
        </a:xfrm>
        <a:prstGeom prst="straightConnector1">
          <a:avLst/>
        </a:prstGeom>
        <a:noFill/>
        <a:ln w="76200">
          <a:solidFill>
            <a:srgbClr val="00B050"/>
          </a:solidFill>
          <a:headEnd type="non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cxnSp>
    <xdr:clientData/>
  </xdr:twoCellAnchor>
  <xdr:twoCellAnchor>
    <xdr:from>
      <xdr:col>22</xdr:col>
      <xdr:colOff>161925</xdr:colOff>
      <xdr:row>57</xdr:row>
      <xdr:rowOff>47625</xdr:rowOff>
    </xdr:from>
    <xdr:to>
      <xdr:col>22</xdr:col>
      <xdr:colOff>180975</xdr:colOff>
      <xdr:row>74</xdr:row>
      <xdr:rowOff>123825</xdr:rowOff>
    </xdr:to>
    <xdr:cxnSp macro="">
      <xdr:nvCxnSpPr>
        <xdr:cNvPr id="13" name="Łącznik prosty ze strzałką 12"/>
        <xdr:cNvCxnSpPr/>
      </xdr:nvCxnSpPr>
      <xdr:spPr>
        <a:xfrm>
          <a:off x="15220950" y="10991850"/>
          <a:ext cx="19050" cy="3343275"/>
        </a:xfrm>
        <a:prstGeom prst="straightConnector1">
          <a:avLst/>
        </a:prstGeom>
        <a:noFill/>
        <a:ln w="76200">
          <a:solidFill>
            <a:srgbClr val="00B050"/>
          </a:solidFill>
          <a:head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cxnSp>
    <xdr:clientData/>
  </xdr:twoCellAnchor>
  <xdr:twoCellAnchor editAs="oneCell">
    <xdr:from>
      <xdr:col>22</xdr:col>
      <xdr:colOff>371475</xdr:colOff>
      <xdr:row>59</xdr:row>
      <xdr:rowOff>152400</xdr:rowOff>
    </xdr:from>
    <xdr:to>
      <xdr:col>27</xdr:col>
      <xdr:colOff>598954</xdr:colOff>
      <xdr:row>78</xdr:row>
      <xdr:rowOff>76200</xdr:rowOff>
    </xdr:to>
    <xdr:pic>
      <xdr:nvPicPr>
        <xdr:cNvPr id="14" name="Obraz 13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30500" y="11496675"/>
          <a:ext cx="4218455" cy="3552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22</xdr:col>
      <xdr:colOff>438150</xdr:colOff>
      <xdr:row>71</xdr:row>
      <xdr:rowOff>66675</xdr:rowOff>
    </xdr:from>
    <xdr:to>
      <xdr:col>29</xdr:col>
      <xdr:colOff>380999</xdr:colOff>
      <xdr:row>75</xdr:row>
      <xdr:rowOff>142875</xdr:rowOff>
    </xdr:to>
    <xdr:sp macro="" textlink="">
      <xdr:nvSpPr>
        <xdr:cNvPr id="15" name="Prostokąt 14"/>
        <xdr:cNvSpPr/>
      </xdr:nvSpPr>
      <xdr:spPr>
        <a:xfrm>
          <a:off x="15497175" y="13706475"/>
          <a:ext cx="5162549" cy="838200"/>
        </a:xfrm>
        <a:prstGeom prst="rect">
          <a:avLst/>
        </a:prstGeom>
        <a:noFill/>
        <a:ln w="762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20</xdr:col>
      <xdr:colOff>552450</xdr:colOff>
      <xdr:row>48</xdr:row>
      <xdr:rowOff>123824</xdr:rowOff>
    </xdr:from>
    <xdr:to>
      <xdr:col>24</xdr:col>
      <xdr:colOff>9526</xdr:colOff>
      <xdr:row>53</xdr:row>
      <xdr:rowOff>76199</xdr:rowOff>
    </xdr:to>
    <xdr:sp macro="" textlink="">
      <xdr:nvSpPr>
        <xdr:cNvPr id="16" name="Prostokąt 15"/>
        <xdr:cNvSpPr/>
      </xdr:nvSpPr>
      <xdr:spPr>
        <a:xfrm>
          <a:off x="14049375" y="9353549"/>
          <a:ext cx="2486026" cy="904875"/>
        </a:xfrm>
        <a:prstGeom prst="rect">
          <a:avLst/>
        </a:prstGeom>
        <a:noFill/>
        <a:ln w="762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40821</xdr:colOff>
      <xdr:row>0</xdr:row>
      <xdr:rowOff>68035</xdr:rowOff>
    </xdr:from>
    <xdr:to>
      <xdr:col>21</xdr:col>
      <xdr:colOff>540524</xdr:colOff>
      <xdr:row>11</xdr:row>
      <xdr:rowOff>106135</xdr:rowOff>
    </xdr:to>
    <xdr:pic>
      <xdr:nvPicPr>
        <xdr:cNvPr id="2" name="Obraz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18271" y="68035"/>
          <a:ext cx="5444858" cy="2162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381000</xdr:colOff>
      <xdr:row>11</xdr:row>
      <xdr:rowOff>163285</xdr:rowOff>
    </xdr:from>
    <xdr:to>
      <xdr:col>19</xdr:col>
      <xdr:colOff>394606</xdr:colOff>
      <xdr:row>20</xdr:row>
      <xdr:rowOff>54427</xdr:rowOff>
    </xdr:to>
    <xdr:sp macro="" textlink="">
      <xdr:nvSpPr>
        <xdr:cNvPr id="3" name="Strzałka wygięta w górę 2"/>
        <xdr:cNvSpPr/>
      </xdr:nvSpPr>
      <xdr:spPr>
        <a:xfrm flipH="1">
          <a:off x="12839700" y="2287360"/>
          <a:ext cx="889906" cy="1624692"/>
        </a:xfrm>
        <a:prstGeom prst="bent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oneCell">
    <xdr:from>
      <xdr:col>15</xdr:col>
      <xdr:colOff>68036</xdr:colOff>
      <xdr:row>22</xdr:row>
      <xdr:rowOff>54428</xdr:rowOff>
    </xdr:from>
    <xdr:to>
      <xdr:col>21</xdr:col>
      <xdr:colOff>472489</xdr:colOff>
      <xdr:row>33</xdr:row>
      <xdr:rowOff>19049</xdr:rowOff>
    </xdr:to>
    <xdr:pic>
      <xdr:nvPicPr>
        <xdr:cNvPr id="4" name="Obraz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45486" y="4302578"/>
          <a:ext cx="5349608" cy="20601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451757</xdr:colOff>
      <xdr:row>33</xdr:row>
      <xdr:rowOff>166005</xdr:rowOff>
    </xdr:from>
    <xdr:to>
      <xdr:col>19</xdr:col>
      <xdr:colOff>465363</xdr:colOff>
      <xdr:row>42</xdr:row>
      <xdr:rowOff>70755</xdr:rowOff>
    </xdr:to>
    <xdr:sp macro="" textlink="">
      <xdr:nvSpPr>
        <xdr:cNvPr id="5" name="Strzałka wygięta w górę 4"/>
        <xdr:cNvSpPr/>
      </xdr:nvSpPr>
      <xdr:spPr>
        <a:xfrm flipH="1">
          <a:off x="12910457" y="6509655"/>
          <a:ext cx="889906" cy="1638300"/>
        </a:xfrm>
        <a:prstGeom prst="bent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oneCell">
    <xdr:from>
      <xdr:col>13</xdr:col>
      <xdr:colOff>152400</xdr:colOff>
      <xdr:row>43</xdr:row>
      <xdr:rowOff>114300</xdr:rowOff>
    </xdr:from>
    <xdr:to>
      <xdr:col>18</xdr:col>
      <xdr:colOff>192557</xdr:colOff>
      <xdr:row>51</xdr:row>
      <xdr:rowOff>95251</xdr:rowOff>
    </xdr:to>
    <xdr:pic>
      <xdr:nvPicPr>
        <xdr:cNvPr id="6" name="Obraz 5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8391525"/>
          <a:ext cx="4110134" cy="15049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419100</xdr:colOff>
      <xdr:row>43</xdr:row>
      <xdr:rowOff>133350</xdr:rowOff>
    </xdr:from>
    <xdr:to>
      <xdr:col>12</xdr:col>
      <xdr:colOff>519684</xdr:colOff>
      <xdr:row>51</xdr:row>
      <xdr:rowOff>47625</xdr:rowOff>
    </xdr:to>
    <xdr:pic>
      <xdr:nvPicPr>
        <xdr:cNvPr id="7" name="Obraz 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2950" y="8410575"/>
          <a:ext cx="3891534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66675</xdr:colOff>
      <xdr:row>43</xdr:row>
      <xdr:rowOff>104775</xdr:rowOff>
    </xdr:from>
    <xdr:to>
      <xdr:col>6</xdr:col>
      <xdr:colOff>5781</xdr:colOff>
      <xdr:row>51</xdr:row>
      <xdr:rowOff>57150</xdr:rowOff>
    </xdr:to>
    <xdr:pic>
      <xdr:nvPicPr>
        <xdr:cNvPr id="8" name="Obraz 7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8382000"/>
          <a:ext cx="4072956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76200</xdr:colOff>
      <xdr:row>46</xdr:row>
      <xdr:rowOff>9525</xdr:rowOff>
    </xdr:from>
    <xdr:to>
      <xdr:col>19</xdr:col>
      <xdr:colOff>438149</xdr:colOff>
      <xdr:row>50</xdr:row>
      <xdr:rowOff>9525</xdr:rowOff>
    </xdr:to>
    <xdr:sp macro="" textlink="">
      <xdr:nvSpPr>
        <xdr:cNvPr id="9" name="Prostokąt 8"/>
        <xdr:cNvSpPr/>
      </xdr:nvSpPr>
      <xdr:spPr>
        <a:xfrm>
          <a:off x="8610600" y="8858250"/>
          <a:ext cx="5162549" cy="762000"/>
        </a:xfrm>
        <a:prstGeom prst="rect">
          <a:avLst/>
        </a:prstGeom>
        <a:noFill/>
        <a:ln w="762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oneCell">
    <xdr:from>
      <xdr:col>20</xdr:col>
      <xdr:colOff>85725</xdr:colOff>
      <xdr:row>44</xdr:row>
      <xdr:rowOff>47625</xdr:rowOff>
    </xdr:from>
    <xdr:to>
      <xdr:col>23</xdr:col>
      <xdr:colOff>410134</xdr:colOff>
      <xdr:row>56</xdr:row>
      <xdr:rowOff>28575</xdr:rowOff>
    </xdr:to>
    <xdr:pic>
      <xdr:nvPicPr>
        <xdr:cNvPr id="10" name="Obraz 9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30350" y="8515350"/>
          <a:ext cx="2496110" cy="2266950"/>
        </a:xfrm>
        <a:prstGeom prst="rect">
          <a:avLst/>
        </a:prstGeom>
        <a:noFill/>
        <a:ln w="76200">
          <a:solidFill>
            <a:srgbClr val="00B05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28576</xdr:colOff>
      <xdr:row>50</xdr:row>
      <xdr:rowOff>104775</xdr:rowOff>
    </xdr:from>
    <xdr:to>
      <xdr:col>13</xdr:col>
      <xdr:colOff>180975</xdr:colOff>
      <xdr:row>60</xdr:row>
      <xdr:rowOff>57150</xdr:rowOff>
    </xdr:to>
    <xdr:cxnSp macro="">
      <xdr:nvCxnSpPr>
        <xdr:cNvPr id="11" name="Łącznik prosty ze strzałką 10"/>
        <xdr:cNvCxnSpPr/>
      </xdr:nvCxnSpPr>
      <xdr:spPr>
        <a:xfrm flipH="1">
          <a:off x="7343776" y="9715500"/>
          <a:ext cx="1371599" cy="1876425"/>
        </a:xfrm>
        <a:prstGeom prst="straightConnector1">
          <a:avLst/>
        </a:prstGeom>
        <a:noFill/>
        <a:ln w="76200">
          <a:solidFill>
            <a:srgbClr val="00B050"/>
          </a:solidFill>
          <a:head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cxnSp>
    <xdr:clientData/>
  </xdr:twoCellAnchor>
  <xdr:twoCellAnchor>
    <xdr:from>
      <xdr:col>4</xdr:col>
      <xdr:colOff>390525</xdr:colOff>
      <xdr:row>74</xdr:row>
      <xdr:rowOff>152400</xdr:rowOff>
    </xdr:from>
    <xdr:to>
      <xdr:col>22</xdr:col>
      <xdr:colOff>190500</xdr:colOff>
      <xdr:row>74</xdr:row>
      <xdr:rowOff>180975</xdr:rowOff>
    </xdr:to>
    <xdr:cxnSp macro="">
      <xdr:nvCxnSpPr>
        <xdr:cNvPr id="12" name="Łącznik prosty ze strzałką 11"/>
        <xdr:cNvCxnSpPr/>
      </xdr:nvCxnSpPr>
      <xdr:spPr>
        <a:xfrm flipH="1">
          <a:off x="2990850" y="14363700"/>
          <a:ext cx="12906375" cy="28575"/>
        </a:xfrm>
        <a:prstGeom prst="straightConnector1">
          <a:avLst/>
        </a:prstGeom>
        <a:noFill/>
        <a:ln w="76200">
          <a:solidFill>
            <a:srgbClr val="00B050"/>
          </a:solidFill>
          <a:headEnd type="non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cxnSp>
    <xdr:clientData/>
  </xdr:twoCellAnchor>
  <xdr:twoCellAnchor>
    <xdr:from>
      <xdr:col>22</xdr:col>
      <xdr:colOff>161925</xdr:colOff>
      <xdr:row>57</xdr:row>
      <xdr:rowOff>47625</xdr:rowOff>
    </xdr:from>
    <xdr:to>
      <xdr:col>22</xdr:col>
      <xdr:colOff>180975</xdr:colOff>
      <xdr:row>74</xdr:row>
      <xdr:rowOff>123825</xdr:rowOff>
    </xdr:to>
    <xdr:cxnSp macro="">
      <xdr:nvCxnSpPr>
        <xdr:cNvPr id="13" name="Łącznik prosty ze strzałką 12"/>
        <xdr:cNvCxnSpPr/>
      </xdr:nvCxnSpPr>
      <xdr:spPr>
        <a:xfrm>
          <a:off x="15868650" y="10991850"/>
          <a:ext cx="19050" cy="3343275"/>
        </a:xfrm>
        <a:prstGeom prst="straightConnector1">
          <a:avLst/>
        </a:prstGeom>
        <a:noFill/>
        <a:ln w="76200">
          <a:solidFill>
            <a:srgbClr val="00B050"/>
          </a:solidFill>
          <a:head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</xdr:cxnSp>
    <xdr:clientData/>
  </xdr:twoCellAnchor>
  <xdr:twoCellAnchor editAs="oneCell">
    <xdr:from>
      <xdr:col>22</xdr:col>
      <xdr:colOff>371475</xdr:colOff>
      <xdr:row>59</xdr:row>
      <xdr:rowOff>152400</xdr:rowOff>
    </xdr:from>
    <xdr:to>
      <xdr:col>27</xdr:col>
      <xdr:colOff>598955</xdr:colOff>
      <xdr:row>78</xdr:row>
      <xdr:rowOff>76200</xdr:rowOff>
    </xdr:to>
    <xdr:pic>
      <xdr:nvPicPr>
        <xdr:cNvPr id="14" name="Obraz 13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78200" y="11496675"/>
          <a:ext cx="4218454" cy="3552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22</xdr:col>
      <xdr:colOff>438150</xdr:colOff>
      <xdr:row>71</xdr:row>
      <xdr:rowOff>66675</xdr:rowOff>
    </xdr:from>
    <xdr:to>
      <xdr:col>29</xdr:col>
      <xdr:colOff>380999</xdr:colOff>
      <xdr:row>75</xdr:row>
      <xdr:rowOff>142875</xdr:rowOff>
    </xdr:to>
    <xdr:sp macro="" textlink="">
      <xdr:nvSpPr>
        <xdr:cNvPr id="15" name="Prostokąt 14"/>
        <xdr:cNvSpPr/>
      </xdr:nvSpPr>
      <xdr:spPr>
        <a:xfrm>
          <a:off x="16144875" y="13706475"/>
          <a:ext cx="5162549" cy="838200"/>
        </a:xfrm>
        <a:prstGeom prst="rect">
          <a:avLst/>
        </a:prstGeom>
        <a:noFill/>
        <a:ln w="762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20</xdr:col>
      <xdr:colOff>552450</xdr:colOff>
      <xdr:row>48</xdr:row>
      <xdr:rowOff>123824</xdr:rowOff>
    </xdr:from>
    <xdr:to>
      <xdr:col>24</xdr:col>
      <xdr:colOff>9526</xdr:colOff>
      <xdr:row>53</xdr:row>
      <xdr:rowOff>76199</xdr:rowOff>
    </xdr:to>
    <xdr:sp macro="" textlink="">
      <xdr:nvSpPr>
        <xdr:cNvPr id="16" name="Prostokąt 15"/>
        <xdr:cNvSpPr/>
      </xdr:nvSpPr>
      <xdr:spPr>
        <a:xfrm>
          <a:off x="14697075" y="9353549"/>
          <a:ext cx="2486026" cy="904875"/>
        </a:xfrm>
        <a:prstGeom prst="rect">
          <a:avLst/>
        </a:prstGeom>
        <a:noFill/>
        <a:ln w="762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70.64.108.154/cd2/Catiav5r24doc/English/online/CATIA_P3_search.ht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170.64.108.154/cd2/Catiav5r24doc/English/online/CATIA_P3_search.ht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170.64.108.154/cd2/Catiav5r24doc/English/online/CATIA_P3_search.htm" TargetMode="External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170.64.108.154/cd2/Catiav5r24doc/English/online/CATIA_P3_search.htm" TargetMode="External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170.64.108.154/cd2/Catiav5r24doc/English/online/CATIA_P3_search.htm" TargetMode="External"/><Relationship Id="rId5" Type="http://schemas.openxmlformats.org/officeDocument/2006/relationships/comments" Target="../comments5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2"/>
  <dimension ref="A1:AG103"/>
  <sheetViews>
    <sheetView topLeftCell="A55" zoomScale="85" zoomScaleNormal="85" workbookViewId="0">
      <selection activeCell="U97" sqref="U97"/>
    </sheetView>
  </sheetViews>
  <sheetFormatPr defaultRowHeight="15" x14ac:dyDescent="0.25"/>
  <cols>
    <col min="1" max="1" width="9.140625" style="18"/>
    <col min="2" max="2" width="9.85546875" style="18" bestFit="1" customWidth="1"/>
    <col min="3" max="3" width="9.7109375" style="18" bestFit="1" customWidth="1"/>
    <col min="4" max="4" width="10" style="18" bestFit="1" customWidth="1"/>
    <col min="5" max="5" width="9.7109375" style="18" bestFit="1" customWidth="1"/>
    <col min="6" max="8" width="9.140625" style="18"/>
    <col min="9" max="9" width="9.85546875" style="18" bestFit="1" customWidth="1"/>
    <col min="10" max="10" width="9.140625" style="18"/>
    <col min="11" max="11" width="9.140625" style="18" customWidth="1"/>
    <col min="12" max="13" width="9.140625" style="18"/>
    <col min="14" max="14" width="12.85546875" style="18" bestFit="1" customWidth="1"/>
    <col min="15" max="15" width="10" style="18" bestFit="1" customWidth="1"/>
    <col min="16" max="16" width="12.85546875" style="18" bestFit="1" customWidth="1"/>
    <col min="17" max="17" width="9.28515625" style="18" bestFit="1" customWidth="1"/>
    <col min="18" max="18" width="9.85546875" style="18" bestFit="1" customWidth="1"/>
    <col min="19" max="19" width="13.140625" style="18" bestFit="1" customWidth="1"/>
    <col min="20" max="20" width="12.140625" style="18" bestFit="1" customWidth="1"/>
    <col min="21" max="21" width="13" style="18" bestFit="1" customWidth="1"/>
    <col min="22" max="22" width="10.42578125" style="18" bestFit="1" customWidth="1"/>
    <col min="23" max="23" width="9.140625" style="18"/>
    <col min="24" max="24" width="12.85546875" style="18" bestFit="1" customWidth="1"/>
    <col min="25" max="25" width="13" style="18" bestFit="1" customWidth="1"/>
    <col min="26" max="26" width="12.85546875" style="18" bestFit="1" customWidth="1"/>
    <col min="27" max="27" width="12" style="18" bestFit="1" customWidth="1"/>
    <col min="28" max="28" width="9.28515625" style="18" bestFit="1" customWidth="1"/>
    <col min="29" max="16384" width="9.140625" style="18"/>
  </cols>
  <sheetData>
    <row r="1" spans="1:33" x14ac:dyDescent="0.25">
      <c r="A1" s="21"/>
      <c r="B1" s="127" t="s">
        <v>6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65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7"/>
    </row>
    <row r="2" spans="1:33" x14ac:dyDescent="0.25">
      <c r="A2" s="22"/>
      <c r="B2" s="128" t="s">
        <v>20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68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1"/>
    </row>
    <row r="3" spans="1:33" x14ac:dyDescent="0.25">
      <c r="A3" s="22"/>
      <c r="B3" s="126" t="s">
        <v>7</v>
      </c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69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1"/>
    </row>
    <row r="4" spans="1:33" x14ac:dyDescent="0.25">
      <c r="A4" s="22"/>
      <c r="B4" s="126" t="s">
        <v>11</v>
      </c>
      <c r="C4" s="126"/>
      <c r="D4" s="126"/>
      <c r="E4" s="126"/>
      <c r="F4" s="126"/>
      <c r="G4" s="126"/>
      <c r="H4" s="126"/>
      <c r="I4" s="126"/>
      <c r="J4" s="126"/>
      <c r="K4" s="126"/>
      <c r="L4" s="126"/>
      <c r="M4" s="126"/>
      <c r="N4" s="126"/>
      <c r="O4" s="22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1"/>
    </row>
    <row r="5" spans="1:33" x14ac:dyDescent="0.25">
      <c r="A5" s="22"/>
      <c r="B5" s="126" t="s">
        <v>19</v>
      </c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22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1"/>
    </row>
    <row r="6" spans="1:33" x14ac:dyDescent="0.25">
      <c r="A6" s="22"/>
      <c r="B6" s="125" t="s">
        <v>18</v>
      </c>
      <c r="C6" s="126"/>
      <c r="D6" s="126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22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1"/>
    </row>
    <row r="7" spans="1:33" ht="15.75" thickBot="1" x14ac:dyDescent="0.3">
      <c r="A7" s="22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62"/>
      <c r="O7" s="22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1"/>
    </row>
    <row r="8" spans="1:33" ht="15.75" thickBot="1" x14ac:dyDescent="0.3">
      <c r="A8" s="22"/>
      <c r="B8" s="14" t="s">
        <v>21</v>
      </c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62"/>
      <c r="O8" s="22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1"/>
    </row>
    <row r="9" spans="1:33" ht="15.75" thickBot="1" x14ac:dyDescent="0.3">
      <c r="A9" s="22"/>
      <c r="B9" s="121" t="s">
        <v>14</v>
      </c>
      <c r="C9" s="122"/>
      <c r="D9" s="122"/>
      <c r="E9" s="123"/>
      <c r="F9" s="46"/>
      <c r="G9" s="121" t="s">
        <v>12</v>
      </c>
      <c r="H9" s="122"/>
      <c r="I9" s="122"/>
      <c r="J9" s="122"/>
      <c r="K9" s="122"/>
      <c r="L9" s="122"/>
      <c r="M9" s="123"/>
      <c r="N9" s="62"/>
      <c r="O9" s="22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1"/>
    </row>
    <row r="10" spans="1:33" x14ac:dyDescent="0.25">
      <c r="A10" s="22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62"/>
      <c r="O10" s="22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1"/>
    </row>
    <row r="11" spans="1:33" x14ac:dyDescent="0.25">
      <c r="A11" s="22"/>
      <c r="B11" s="124" t="s">
        <v>22</v>
      </c>
      <c r="C11" s="124"/>
      <c r="D11" s="124"/>
      <c r="E11" s="124"/>
      <c r="F11" s="46"/>
      <c r="G11" s="115" t="s">
        <v>15</v>
      </c>
      <c r="H11" s="116"/>
      <c r="I11" s="117"/>
      <c r="J11" s="46"/>
      <c r="K11" s="115" t="s">
        <v>16</v>
      </c>
      <c r="L11" s="116"/>
      <c r="M11" s="117"/>
      <c r="N11" s="60"/>
      <c r="O11" s="22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1"/>
    </row>
    <row r="12" spans="1:33" x14ac:dyDescent="0.25">
      <c r="A12" s="27"/>
      <c r="B12" s="9"/>
      <c r="C12" s="10" t="s">
        <v>0</v>
      </c>
      <c r="D12" s="10" t="s">
        <v>1</v>
      </c>
      <c r="E12" s="10" t="s">
        <v>4</v>
      </c>
      <c r="F12" s="46"/>
      <c r="G12" s="8" t="s">
        <v>0</v>
      </c>
      <c r="H12" s="8" t="s">
        <v>1</v>
      </c>
      <c r="I12" s="8" t="s">
        <v>4</v>
      </c>
      <c r="J12" s="46"/>
      <c r="K12" s="8" t="s">
        <v>2</v>
      </c>
      <c r="L12" s="8" t="s">
        <v>3</v>
      </c>
      <c r="M12" s="8" t="s">
        <v>5</v>
      </c>
      <c r="N12" s="60"/>
      <c r="O12" s="22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1"/>
    </row>
    <row r="13" spans="1:33" x14ac:dyDescent="0.25">
      <c r="A13" s="22"/>
      <c r="B13" s="1" t="s">
        <v>8</v>
      </c>
      <c r="C13" s="6">
        <v>-0.54604489204276685</v>
      </c>
      <c r="D13" s="6">
        <v>0.41012926041976627</v>
      </c>
      <c r="E13" s="6">
        <v>-0.73049912089032565</v>
      </c>
      <c r="F13" s="46"/>
      <c r="G13" s="15">
        <v>-72.599999999999994</v>
      </c>
      <c r="H13" s="15">
        <v>-123.2</v>
      </c>
      <c r="I13" s="15">
        <v>-41.5</v>
      </c>
      <c r="J13" s="45"/>
      <c r="K13" s="16">
        <f>($C$13*G13)+($D$13*H13)+($E$13*I13)</f>
        <v>19.430647795538178</v>
      </c>
      <c r="L13" s="16">
        <f>($C$14*G13)+($D$14*H13)+($E$14*I13)</f>
        <v>-124.24271591894237</v>
      </c>
      <c r="M13" s="16">
        <f>($C$15*G13)+($D$15*H13)+($E$15*I13)</f>
        <v>79.733603125224036</v>
      </c>
      <c r="N13" s="60"/>
      <c r="O13" s="22"/>
      <c r="P13" s="34"/>
      <c r="Q13" s="34"/>
      <c r="R13" s="34"/>
      <c r="S13" s="60"/>
      <c r="T13" s="60"/>
      <c r="U13" s="105" t="s">
        <v>27</v>
      </c>
      <c r="V13" s="105"/>
      <c r="W13" s="105"/>
      <c r="X13" s="60"/>
      <c r="Y13" s="60"/>
      <c r="Z13" s="105" t="s">
        <v>26</v>
      </c>
      <c r="AA13" s="105"/>
      <c r="AB13" s="105"/>
      <c r="AC13" s="60"/>
      <c r="AD13" s="60"/>
      <c r="AE13" s="60"/>
      <c r="AF13" s="60"/>
      <c r="AG13" s="61"/>
    </row>
    <row r="14" spans="1:33" x14ac:dyDescent="0.25">
      <c r="A14" s="22"/>
      <c r="B14" s="1" t="s">
        <v>9</v>
      </c>
      <c r="C14" s="6">
        <v>0.74492741158036579</v>
      </c>
      <c r="D14" s="6">
        <v>0.63665297600805792</v>
      </c>
      <c r="E14" s="6">
        <v>-0.19938941701168506</v>
      </c>
      <c r="F14" s="46"/>
      <c r="G14" s="15">
        <v>-152.4</v>
      </c>
      <c r="H14" s="15">
        <v>86.199999999999989</v>
      </c>
      <c r="I14" s="15">
        <v>80.599999999999994</v>
      </c>
      <c r="J14" s="45"/>
      <c r="K14" s="16">
        <f>($C$13*G14)+($D$13*H14)+($E$13*I14)</f>
        <v>59.692154651741284</v>
      </c>
      <c r="L14" s="16">
        <f t="shared" ref="L14:L16" si="0">($C$14*G14)+($D$14*H14)+($E$14*I14)</f>
        <v>-74.718238004094985</v>
      </c>
      <c r="M14" s="16">
        <f t="shared" ref="M14:M16" si="1">($C$15*G14)+($D$15*H14)+($E$15*I14)</f>
        <v>-167.35170026801643</v>
      </c>
      <c r="N14" s="60"/>
      <c r="O14" s="22"/>
      <c r="P14" s="34"/>
      <c r="Q14" s="34"/>
      <c r="R14" s="34"/>
      <c r="S14" s="70"/>
      <c r="T14" s="70"/>
      <c r="U14" s="32">
        <v>-0.19020200000000001</v>
      </c>
      <c r="V14" s="32">
        <v>0.69673300000000005</v>
      </c>
      <c r="W14" s="32">
        <v>0.69165500000000002</v>
      </c>
      <c r="X14" s="70"/>
      <c r="Y14" s="70"/>
      <c r="Z14" s="32">
        <v>0.45171099999999997</v>
      </c>
      <c r="AA14" s="32">
        <v>-0.80075499999999999</v>
      </c>
      <c r="AB14" s="32">
        <v>0.39338000000000001</v>
      </c>
      <c r="AC14" s="60"/>
      <c r="AD14" s="60"/>
      <c r="AE14" s="60"/>
      <c r="AF14" s="60"/>
      <c r="AG14" s="61"/>
    </row>
    <row r="15" spans="1:33" x14ac:dyDescent="0.25">
      <c r="A15" s="22"/>
      <c r="B15" s="1" t="s">
        <v>10</v>
      </c>
      <c r="C15" s="6">
        <v>0.38329900515156512</v>
      </c>
      <c r="D15" s="6">
        <v>-0.65304439197317876</v>
      </c>
      <c r="E15" s="6">
        <v>-0.65315763393089243</v>
      </c>
      <c r="F15" s="46"/>
      <c r="G15" s="15">
        <v>203.7</v>
      </c>
      <c r="H15" s="15">
        <v>202.4</v>
      </c>
      <c r="I15" s="15">
        <v>100.8</v>
      </c>
      <c r="J15" s="45"/>
      <c r="K15" s="16">
        <f t="shared" ref="K15:K16" si="2">($C$13*G15)+($D$13*H15)+($E$13*I15)</f>
        <v>-101.85349358589572</v>
      </c>
      <c r="L15" s="16">
        <f t="shared" si="0"/>
        <v>260.50182284817356</v>
      </c>
      <c r="M15" s="16">
        <f t="shared" si="1"/>
        <v>-119.93646708623154</v>
      </c>
      <c r="N15" s="60"/>
      <c r="O15" s="22"/>
      <c r="P15" s="34"/>
      <c r="Q15" s="34"/>
      <c r="R15" s="34"/>
      <c r="S15" s="70"/>
      <c r="T15" s="70"/>
      <c r="U15" s="32">
        <v>-0.90742299999999998</v>
      </c>
      <c r="V15" s="32">
        <v>-0.39366299999999999</v>
      </c>
      <c r="W15" s="32">
        <v>0.14701600000000001</v>
      </c>
      <c r="X15" s="70"/>
      <c r="Y15" s="70"/>
      <c r="Z15" s="32">
        <v>0.70823800000000003</v>
      </c>
      <c r="AA15" s="32">
        <v>5.3709E-2</v>
      </c>
      <c r="AB15" s="32">
        <v>-0.703928</v>
      </c>
      <c r="AC15" s="60"/>
      <c r="AD15" s="60"/>
      <c r="AE15" s="60"/>
      <c r="AF15" s="60"/>
      <c r="AG15" s="61"/>
    </row>
    <row r="16" spans="1:33" x14ac:dyDescent="0.25">
      <c r="A16" s="22"/>
      <c r="B16" s="46"/>
      <c r="C16" s="46"/>
      <c r="D16" s="46"/>
      <c r="E16" s="46"/>
      <c r="F16" s="46"/>
      <c r="G16" s="15">
        <v>223.8</v>
      </c>
      <c r="H16" s="15">
        <v>205.6</v>
      </c>
      <c r="I16" s="15">
        <v>180.8</v>
      </c>
      <c r="J16" s="46"/>
      <c r="K16" s="16">
        <f t="shared" si="2"/>
        <v>-169.95651195383817</v>
      </c>
      <c r="L16" s="16">
        <f t="shared" si="0"/>
        <v>261.56099998322992</v>
      </c>
      <c r="M16" s="16">
        <f t="shared" si="1"/>
        <v>-166.57450985147062</v>
      </c>
      <c r="N16" s="60"/>
      <c r="O16" s="22"/>
      <c r="P16" s="34"/>
      <c r="Q16" s="34"/>
      <c r="R16" s="34"/>
      <c r="S16" s="70"/>
      <c r="T16" s="70"/>
      <c r="U16" s="32">
        <v>0.37470999999999999</v>
      </c>
      <c r="V16" s="32">
        <v>-0.599661</v>
      </c>
      <c r="W16" s="32">
        <v>0.70710700000000004</v>
      </c>
      <c r="X16" s="70"/>
      <c r="Y16" s="70"/>
      <c r="Z16" s="32">
        <v>0.54254599999999997</v>
      </c>
      <c r="AA16" s="32">
        <v>0.59657899999999997</v>
      </c>
      <c r="AB16" s="32">
        <v>0.59138599999999997</v>
      </c>
      <c r="AC16" s="60"/>
      <c r="AD16" s="60"/>
      <c r="AE16" s="60"/>
      <c r="AF16" s="60"/>
      <c r="AG16" s="61"/>
    </row>
    <row r="17" spans="1:33" x14ac:dyDescent="0.25">
      <c r="A17" s="22"/>
      <c r="B17" s="46"/>
      <c r="C17" s="46"/>
      <c r="D17" s="46"/>
      <c r="E17" s="46"/>
      <c r="F17" s="46"/>
      <c r="G17" s="46"/>
      <c r="H17" s="45"/>
      <c r="I17" s="45"/>
      <c r="J17" s="45"/>
      <c r="K17" s="45"/>
      <c r="L17" s="45"/>
      <c r="M17" s="45"/>
      <c r="N17" s="60"/>
      <c r="O17" s="22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1"/>
    </row>
    <row r="18" spans="1:33" ht="15.75" thickBot="1" x14ac:dyDescent="0.3">
      <c r="A18" s="22"/>
      <c r="B18" s="46"/>
      <c r="C18" s="46"/>
      <c r="D18" s="46"/>
      <c r="E18" s="46"/>
      <c r="F18" s="46"/>
      <c r="G18" s="46"/>
      <c r="H18" s="45"/>
      <c r="I18" s="45"/>
      <c r="J18" s="45"/>
      <c r="K18" s="45"/>
      <c r="L18" s="45"/>
      <c r="M18" s="45"/>
      <c r="N18" s="60"/>
      <c r="O18" s="22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G18" s="61"/>
    </row>
    <row r="19" spans="1:33" ht="15.75" thickBot="1" x14ac:dyDescent="0.3">
      <c r="A19" s="22"/>
      <c r="B19" s="45"/>
      <c r="C19" s="45"/>
      <c r="D19" s="45"/>
      <c r="E19" s="45"/>
      <c r="F19" s="45"/>
      <c r="G19" s="112" t="s">
        <v>13</v>
      </c>
      <c r="H19" s="113"/>
      <c r="I19" s="113"/>
      <c r="J19" s="113"/>
      <c r="K19" s="113"/>
      <c r="L19" s="113"/>
      <c r="M19" s="114"/>
      <c r="N19" s="64"/>
      <c r="O19" s="22"/>
      <c r="P19" s="60"/>
      <c r="Q19" s="60"/>
      <c r="R19" s="60"/>
      <c r="S19" s="60"/>
      <c r="T19" s="60"/>
      <c r="U19" s="36">
        <f t="array" ref="U19:W21">MMULT(Z14:AB16,U14:W16)</f>
        <v>0.78811058854299998</v>
      </c>
      <c r="V19" s="37">
        <v>0.39405493154800003</v>
      </c>
      <c r="W19" s="38">
        <v>0.47286612628499997</v>
      </c>
      <c r="X19" s="60"/>
      <c r="Y19" s="60"/>
      <c r="Z19" s="60"/>
      <c r="AA19" s="60"/>
      <c r="AB19" s="60"/>
      <c r="AC19" s="60"/>
      <c r="AD19" s="60"/>
      <c r="AE19" s="60"/>
      <c r="AF19" s="60"/>
      <c r="AG19" s="61"/>
    </row>
    <row r="20" spans="1:33" x14ac:dyDescent="0.25">
      <c r="A20" s="22"/>
      <c r="B20" s="46"/>
      <c r="C20" s="46"/>
      <c r="D20" s="46"/>
      <c r="E20" s="46"/>
      <c r="F20" s="46"/>
      <c r="G20" s="46"/>
      <c r="H20" s="45"/>
      <c r="I20" s="45"/>
      <c r="J20" s="45"/>
      <c r="K20" s="45"/>
      <c r="L20" s="45"/>
      <c r="M20" s="45"/>
      <c r="N20" s="60"/>
      <c r="O20" s="22"/>
      <c r="P20" s="60"/>
      <c r="Q20" s="60"/>
      <c r="R20" s="60"/>
      <c r="S20" s="60"/>
      <c r="T20" s="60"/>
      <c r="U20" s="39">
        <v>-0.44721392686300004</v>
      </c>
      <c r="V20" s="40">
        <v>0.894427708795</v>
      </c>
      <c r="W20" s="41">
        <v>1.9938000028751901E-8</v>
      </c>
      <c r="X20" s="60"/>
      <c r="Y20" s="60"/>
      <c r="Z20" s="60"/>
      <c r="AA20" s="60"/>
      <c r="AB20" s="60"/>
      <c r="AC20" s="60"/>
      <c r="AD20" s="60"/>
      <c r="AE20" s="60"/>
      <c r="AF20" s="60"/>
      <c r="AG20" s="61"/>
    </row>
    <row r="21" spans="1:33" ht="15.75" thickBot="1" x14ac:dyDescent="0.3">
      <c r="A21" s="22"/>
      <c r="B21" s="45"/>
      <c r="C21" s="45"/>
      <c r="D21" s="45"/>
      <c r="E21" s="45"/>
      <c r="F21" s="46"/>
      <c r="G21" s="115" t="s">
        <v>17</v>
      </c>
      <c r="H21" s="116"/>
      <c r="I21" s="117"/>
      <c r="J21" s="46"/>
      <c r="K21" s="115" t="s">
        <v>16</v>
      </c>
      <c r="L21" s="116"/>
      <c r="M21" s="117"/>
      <c r="N21" s="62"/>
      <c r="O21" s="118"/>
      <c r="P21" s="119"/>
      <c r="Q21" s="119"/>
      <c r="R21" s="60"/>
      <c r="S21" s="60"/>
      <c r="T21" s="60"/>
      <c r="U21" s="42">
        <v>-0.42294459214899993</v>
      </c>
      <c r="V21" s="43">
        <v>-0.21147249680499994</v>
      </c>
      <c r="W21" s="44">
        <v>0.88113449219600004</v>
      </c>
      <c r="X21" s="60"/>
      <c r="Y21" s="60"/>
      <c r="Z21" s="60"/>
      <c r="AA21" s="60"/>
      <c r="AB21" s="60"/>
      <c r="AC21" s="60"/>
      <c r="AD21" s="60"/>
      <c r="AE21" s="60"/>
      <c r="AF21" s="60"/>
      <c r="AG21" s="61"/>
    </row>
    <row r="22" spans="1:33" x14ac:dyDescent="0.25">
      <c r="A22" s="22"/>
      <c r="B22" s="17"/>
      <c r="C22" s="120" t="s">
        <v>23</v>
      </c>
      <c r="D22" s="120"/>
      <c r="E22" s="120"/>
      <c r="F22" s="46"/>
      <c r="G22" s="8" t="s">
        <v>0</v>
      </c>
      <c r="H22" s="8" t="s">
        <v>1</v>
      </c>
      <c r="I22" s="8" t="s">
        <v>4</v>
      </c>
      <c r="J22" s="46"/>
      <c r="K22" s="8" t="s">
        <v>2</v>
      </c>
      <c r="L22" s="8" t="s">
        <v>3</v>
      </c>
      <c r="M22" s="8" t="s">
        <v>5</v>
      </c>
      <c r="N22" s="62"/>
      <c r="O22" s="22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/>
      <c r="AB22" s="60"/>
      <c r="AC22" s="60"/>
      <c r="AD22" s="60"/>
      <c r="AE22" s="60"/>
      <c r="AF22" s="60"/>
      <c r="AG22" s="61"/>
    </row>
    <row r="23" spans="1:33" x14ac:dyDescent="0.25">
      <c r="A23" s="22"/>
      <c r="B23" s="45"/>
      <c r="C23" s="19">
        <f t="array" ref="C23:E25">MINVERSE(C13:E15)</f>
        <v>-0.54604489204276674</v>
      </c>
      <c r="D23" s="20">
        <v>0.74492741158036568</v>
      </c>
      <c r="E23" s="20">
        <v>0.38329900515156501</v>
      </c>
      <c r="F23" s="46"/>
      <c r="G23" s="16">
        <f>K13</f>
        <v>19.430647795538178</v>
      </c>
      <c r="H23" s="16">
        <f t="shared" ref="H23:I26" si="3">L13</f>
        <v>-124.24271591894237</v>
      </c>
      <c r="I23" s="16">
        <f t="shared" si="3"/>
        <v>79.733603125224036</v>
      </c>
      <c r="J23" s="45"/>
      <c r="K23" s="15">
        <f>($C$23*G23)+($D$23*H23)+($E$23*I23)</f>
        <v>-72.600000000000009</v>
      </c>
      <c r="L23" s="15">
        <f>($C$24*G23)+($D$24*H23)+($E$24*I23)</f>
        <v>-123.19999999999999</v>
      </c>
      <c r="M23" s="15">
        <f>($C$25*G23)+($D$25*H23)+($E$25*I23)</f>
        <v>-41.500000000000007</v>
      </c>
      <c r="N23" s="62"/>
      <c r="O23" s="22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0"/>
      <c r="AC23" s="60"/>
      <c r="AD23" s="60"/>
      <c r="AE23" s="60"/>
      <c r="AF23" s="60"/>
      <c r="AG23" s="61"/>
    </row>
    <row r="24" spans="1:33" x14ac:dyDescent="0.25">
      <c r="A24" s="22"/>
      <c r="B24" s="45"/>
      <c r="C24" s="20">
        <v>0.41012926041976633</v>
      </c>
      <c r="D24" s="20">
        <v>0.63665297600805781</v>
      </c>
      <c r="E24" s="20">
        <v>-0.65304439197317865</v>
      </c>
      <c r="F24" s="46"/>
      <c r="G24" s="16">
        <f t="shared" ref="G24:G26" si="4">K14</f>
        <v>59.692154651741284</v>
      </c>
      <c r="H24" s="16">
        <f t="shared" si="3"/>
        <v>-74.718238004094985</v>
      </c>
      <c r="I24" s="16">
        <f t="shared" si="3"/>
        <v>-167.35170026801643</v>
      </c>
      <c r="J24" s="45"/>
      <c r="K24" s="15">
        <f>($C$23*G24)+($D$23*H24)+($E$23*I24)</f>
        <v>-152.39999999999998</v>
      </c>
      <c r="L24" s="15">
        <f>($C$24*G24)+($D$24*H24)+($E$24*I24)</f>
        <v>86.19999999999996</v>
      </c>
      <c r="M24" s="15">
        <f>($C$25*G24)+($D$25*H24)+($E$25*I24)</f>
        <v>80.59999999999998</v>
      </c>
      <c r="N24" s="62"/>
      <c r="O24" s="22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G24" s="61"/>
    </row>
    <row r="25" spans="1:33" x14ac:dyDescent="0.25">
      <c r="A25" s="22"/>
      <c r="B25" s="45"/>
      <c r="C25" s="20">
        <v>-0.73049912089032576</v>
      </c>
      <c r="D25" s="20">
        <v>-0.19938941701168514</v>
      </c>
      <c r="E25" s="20">
        <v>-0.65315763393089254</v>
      </c>
      <c r="F25" s="46"/>
      <c r="G25" s="16">
        <f t="shared" si="4"/>
        <v>-101.85349358589572</v>
      </c>
      <c r="H25" s="16">
        <f t="shared" si="3"/>
        <v>260.50182284817356</v>
      </c>
      <c r="I25" s="16">
        <f t="shared" si="3"/>
        <v>-119.93646708623154</v>
      </c>
      <c r="J25" s="45"/>
      <c r="K25" s="15">
        <f>($C$23*G25)+($D$23*H25)+($E$23*I25)</f>
        <v>203.7</v>
      </c>
      <c r="L25" s="15">
        <f>($C$24*G25)+($D$24*H25)+($E$24*I25)</f>
        <v>202.39999999999998</v>
      </c>
      <c r="M25" s="15">
        <f>($C$25*G25)+($D$25*H25)+($E$25*I25)</f>
        <v>100.80000000000003</v>
      </c>
      <c r="N25" s="62"/>
      <c r="O25" s="22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G25" s="61"/>
    </row>
    <row r="26" spans="1:33" x14ac:dyDescent="0.25">
      <c r="A26" s="22"/>
      <c r="B26" s="46"/>
      <c r="C26" s="46"/>
      <c r="D26" s="46"/>
      <c r="E26" s="46"/>
      <c r="F26" s="46"/>
      <c r="G26" s="16">
        <f t="shared" si="4"/>
        <v>-169.95651195383817</v>
      </c>
      <c r="H26" s="16">
        <f t="shared" si="3"/>
        <v>261.56099998322992</v>
      </c>
      <c r="I26" s="16">
        <f t="shared" si="3"/>
        <v>-166.57450985147062</v>
      </c>
      <c r="J26" s="46"/>
      <c r="K26" s="15">
        <f>($C$23*G26)+($D$23*H26)+($E$23*I26)</f>
        <v>223.8</v>
      </c>
      <c r="L26" s="15">
        <f>($C$24*G26)+($D$24*H26)+($E24*I26)</f>
        <v>205.59999999999997</v>
      </c>
      <c r="M26" s="15">
        <f>($C$25*G26)+($D$25*H26)+($E$25*I26)</f>
        <v>180.8</v>
      </c>
      <c r="N26" s="62"/>
      <c r="O26" s="22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0"/>
      <c r="AG26" s="61"/>
    </row>
    <row r="27" spans="1:33" x14ac:dyDescent="0.25">
      <c r="A27" s="22"/>
      <c r="B27" s="46"/>
      <c r="C27" s="46"/>
      <c r="D27" s="46"/>
      <c r="E27" s="46"/>
      <c r="F27" s="46"/>
      <c r="G27" s="12"/>
      <c r="H27" s="12"/>
      <c r="I27" s="12"/>
      <c r="J27" s="46"/>
      <c r="K27" s="12"/>
      <c r="L27" s="12"/>
      <c r="M27" s="12"/>
      <c r="N27" s="62"/>
      <c r="O27" s="22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60"/>
      <c r="AE27" s="60"/>
      <c r="AF27" s="60"/>
      <c r="AG27" s="61"/>
    </row>
    <row r="28" spans="1:33" x14ac:dyDescent="0.25">
      <c r="A28" s="22"/>
      <c r="B28" s="45"/>
      <c r="C28" s="45"/>
      <c r="D28" s="45"/>
      <c r="E28" s="45"/>
      <c r="F28" s="45"/>
      <c r="G28" s="45">
        <v>0</v>
      </c>
      <c r="H28" s="45"/>
      <c r="I28" s="45"/>
      <c r="J28" s="45"/>
      <c r="K28" s="45"/>
      <c r="L28" s="45"/>
      <c r="M28" s="45"/>
      <c r="N28" s="60"/>
      <c r="O28" s="22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1"/>
    </row>
    <row r="29" spans="1:33" x14ac:dyDescent="0.25">
      <c r="A29" s="22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60"/>
      <c r="O29" s="22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G29" s="61"/>
    </row>
    <row r="30" spans="1:33" x14ac:dyDescent="0.25">
      <c r="A30" s="22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60"/>
      <c r="O30" s="22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  <c r="AA30" s="60"/>
      <c r="AB30" s="60"/>
      <c r="AC30" s="60"/>
      <c r="AD30" s="60"/>
      <c r="AE30" s="60"/>
      <c r="AF30" s="60"/>
      <c r="AG30" s="61"/>
    </row>
    <row r="31" spans="1:33" x14ac:dyDescent="0.25">
      <c r="A31" s="22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60"/>
      <c r="O31" s="22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0"/>
      <c r="AA31" s="60"/>
      <c r="AB31" s="60"/>
      <c r="AC31" s="60"/>
      <c r="AD31" s="60"/>
      <c r="AE31" s="60"/>
      <c r="AF31" s="60"/>
      <c r="AG31" s="61"/>
    </row>
    <row r="32" spans="1:33" x14ac:dyDescent="0.25">
      <c r="A32" s="22"/>
      <c r="B32" s="45"/>
      <c r="C32" s="105" t="s">
        <v>24</v>
      </c>
      <c r="D32" s="105"/>
      <c r="E32" s="105"/>
      <c r="F32" s="45"/>
      <c r="G32" s="105" t="s">
        <v>25</v>
      </c>
      <c r="H32" s="105"/>
      <c r="I32" s="105"/>
      <c r="J32" s="45"/>
      <c r="K32" s="45"/>
      <c r="L32" s="45"/>
      <c r="M32" s="45"/>
      <c r="N32" s="60"/>
      <c r="O32" s="22"/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0"/>
      <c r="AA32" s="60"/>
      <c r="AB32" s="60"/>
      <c r="AC32" s="60"/>
      <c r="AD32" s="60"/>
      <c r="AE32" s="60"/>
      <c r="AF32" s="60"/>
      <c r="AG32" s="61"/>
    </row>
    <row r="33" spans="1:33" x14ac:dyDescent="0.25">
      <c r="A33" s="22"/>
      <c r="B33" s="45"/>
      <c r="C33" s="20">
        <f t="array" ref="C33:E35">TRANSPOSE(C13:E15)</f>
        <v>-0.54604489204276685</v>
      </c>
      <c r="D33" s="20">
        <v>0.74492741158036579</v>
      </c>
      <c r="E33" s="20">
        <v>0.38329900515156512</v>
      </c>
      <c r="F33" s="45"/>
      <c r="G33" s="20">
        <f t="array" ref="G33:I35">MMULT(C13:E15,C33:E35)</f>
        <v>1</v>
      </c>
      <c r="H33" s="20">
        <v>-8.3266726846886741E-17</v>
      </c>
      <c r="I33" s="20">
        <v>-5.5511151231257827E-17</v>
      </c>
      <c r="J33" s="45"/>
      <c r="K33" s="45"/>
      <c r="L33" s="45"/>
      <c r="M33" s="45"/>
      <c r="N33" s="60"/>
      <c r="O33" s="22"/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0"/>
      <c r="AA33" s="60"/>
      <c r="AB33" s="60"/>
      <c r="AC33" s="60"/>
      <c r="AD33" s="60"/>
      <c r="AE33" s="60"/>
      <c r="AF33" s="60"/>
      <c r="AG33" s="61"/>
    </row>
    <row r="34" spans="1:33" x14ac:dyDescent="0.25">
      <c r="A34" s="22"/>
      <c r="B34" s="45"/>
      <c r="C34" s="20">
        <v>0.41012926041976627</v>
      </c>
      <c r="D34" s="20">
        <v>0.63665297600805792</v>
      </c>
      <c r="E34" s="20">
        <v>-0.65304439197317876</v>
      </c>
      <c r="F34" s="45"/>
      <c r="G34" s="20">
        <v>-8.3266726846886741E-17</v>
      </c>
      <c r="H34" s="20">
        <v>1</v>
      </c>
      <c r="I34" s="20">
        <v>-2.7755575615628914E-17</v>
      </c>
      <c r="J34" s="45"/>
      <c r="K34" s="45"/>
      <c r="L34" s="45"/>
      <c r="M34" s="45"/>
      <c r="N34" s="60"/>
      <c r="O34" s="22"/>
      <c r="P34" s="60"/>
      <c r="Q34" s="60"/>
      <c r="R34" s="34"/>
      <c r="S34" s="60"/>
      <c r="T34" s="60"/>
      <c r="U34" s="60"/>
      <c r="V34" s="60"/>
      <c r="W34" s="60"/>
      <c r="X34" s="60"/>
      <c r="Y34" s="60"/>
      <c r="Z34" s="60"/>
      <c r="AA34" s="60"/>
      <c r="AB34" s="60"/>
      <c r="AC34" s="60"/>
      <c r="AD34" s="60"/>
      <c r="AE34" s="60"/>
      <c r="AF34" s="60"/>
      <c r="AG34" s="61"/>
    </row>
    <row r="35" spans="1:33" x14ac:dyDescent="0.25">
      <c r="A35" s="22"/>
      <c r="B35" s="45"/>
      <c r="C35" s="20">
        <v>-0.73049912089032565</v>
      </c>
      <c r="D35" s="20">
        <v>-0.19938941701168506</v>
      </c>
      <c r="E35" s="20">
        <v>-0.65315763393089243</v>
      </c>
      <c r="F35" s="45"/>
      <c r="G35" s="20">
        <v>-5.5511151231257827E-17</v>
      </c>
      <c r="H35" s="20">
        <v>-2.7755575615628914E-17</v>
      </c>
      <c r="I35" s="20">
        <v>1</v>
      </c>
      <c r="J35" s="45"/>
      <c r="K35" s="45"/>
      <c r="L35" s="45"/>
      <c r="M35" s="45"/>
      <c r="N35" s="60"/>
      <c r="O35" s="22"/>
      <c r="P35" s="34"/>
      <c r="Q35" s="34"/>
      <c r="R35" s="34"/>
      <c r="S35" s="60"/>
      <c r="T35" s="60"/>
      <c r="U35" s="105" t="s">
        <v>27</v>
      </c>
      <c r="V35" s="105"/>
      <c r="W35" s="105"/>
      <c r="X35" s="60"/>
      <c r="Y35" s="60"/>
      <c r="Z35" s="105" t="s">
        <v>26</v>
      </c>
      <c r="AA35" s="105"/>
      <c r="AB35" s="105"/>
      <c r="AC35" s="60"/>
      <c r="AD35" s="60"/>
      <c r="AE35" s="105" t="s">
        <v>28</v>
      </c>
      <c r="AF35" s="105"/>
      <c r="AG35" s="110"/>
    </row>
    <row r="36" spans="1:33" ht="15.75" thickBot="1" x14ac:dyDescent="0.3">
      <c r="A36" s="29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22"/>
      <c r="P36" s="34"/>
      <c r="Q36" s="34"/>
      <c r="R36" s="34"/>
      <c r="S36" s="70"/>
      <c r="T36" s="70"/>
      <c r="U36" s="32">
        <v>-0.19020200000000001</v>
      </c>
      <c r="V36" s="32">
        <v>0.69673300000000005</v>
      </c>
      <c r="W36" s="32">
        <v>0.69165500000000002</v>
      </c>
      <c r="X36" s="70"/>
      <c r="Y36" s="70"/>
      <c r="Z36" s="32">
        <v>0.45171099999999997</v>
      </c>
      <c r="AA36" s="32">
        <v>-0.80075499999999999</v>
      </c>
      <c r="AB36" s="32">
        <v>0.39338000000000001</v>
      </c>
      <c r="AC36" s="60"/>
      <c r="AD36" s="60"/>
      <c r="AE36" s="32">
        <v>0.60336500000000004</v>
      </c>
      <c r="AF36" s="32">
        <v>0.446515</v>
      </c>
      <c r="AG36" s="71">
        <v>0.66073800000000005</v>
      </c>
    </row>
    <row r="37" spans="1:33" x14ac:dyDescent="0.25">
      <c r="O37" s="22"/>
      <c r="P37" s="34"/>
      <c r="Q37" s="34"/>
      <c r="R37" s="34"/>
      <c r="S37" s="70"/>
      <c r="T37" s="70"/>
      <c r="U37" s="32">
        <v>-0.90742299999999998</v>
      </c>
      <c r="V37" s="32">
        <v>-0.39366299999999999</v>
      </c>
      <c r="W37" s="32">
        <v>0.14701600000000001</v>
      </c>
      <c r="X37" s="70"/>
      <c r="Y37" s="70"/>
      <c r="Z37" s="32">
        <v>0.70823800000000003</v>
      </c>
      <c r="AA37" s="32">
        <v>5.3709E-2</v>
      </c>
      <c r="AB37" s="32">
        <v>-0.703928</v>
      </c>
      <c r="AC37" s="60"/>
      <c r="AD37" s="60"/>
      <c r="AE37" s="32">
        <v>-0.66570300000000004</v>
      </c>
      <c r="AF37" s="32">
        <v>-0.174176</v>
      </c>
      <c r="AG37" s="71">
        <v>0.72560500000000006</v>
      </c>
    </row>
    <row r="38" spans="1:33" x14ac:dyDescent="0.25">
      <c r="O38" s="22"/>
      <c r="P38" s="34"/>
      <c r="Q38" s="34"/>
      <c r="R38" s="34"/>
      <c r="S38" s="70"/>
      <c r="T38" s="70"/>
      <c r="U38" s="32">
        <v>0.37470999999999999</v>
      </c>
      <c r="V38" s="32">
        <v>-0.599661</v>
      </c>
      <c r="W38" s="32">
        <v>0.70710700000000004</v>
      </c>
      <c r="X38" s="70"/>
      <c r="Y38" s="70"/>
      <c r="Z38" s="32">
        <v>0.54254599999999997</v>
      </c>
      <c r="AA38" s="32">
        <v>0.59657899999999997</v>
      </c>
      <c r="AB38" s="32">
        <v>0.59138599999999997</v>
      </c>
      <c r="AC38" s="60"/>
      <c r="AD38" s="60"/>
      <c r="AE38" s="32">
        <v>0.43907800000000002</v>
      </c>
      <c r="AF38" s="32">
        <v>-0.87766</v>
      </c>
      <c r="AG38" s="71">
        <v>0.19215499999999999</v>
      </c>
    </row>
    <row r="39" spans="1:33" x14ac:dyDescent="0.25">
      <c r="O39" s="22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1"/>
    </row>
    <row r="40" spans="1:33" ht="15.75" thickBot="1" x14ac:dyDescent="0.3">
      <c r="O40" s="22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1"/>
    </row>
    <row r="41" spans="1:33" x14ac:dyDescent="0.25">
      <c r="O41" s="22"/>
      <c r="P41" s="60"/>
      <c r="Q41" s="60"/>
      <c r="R41" s="60"/>
      <c r="S41" s="60"/>
      <c r="T41" s="60"/>
      <c r="U41" s="36">
        <f t="array" ref="U41:W43">MMULT(Z41:AB43,U36:W38)</f>
        <v>-3.6249452243311969E-3</v>
      </c>
      <c r="V41" s="37">
        <v>0.49740642757211651</v>
      </c>
      <c r="W41" s="38">
        <v>0.86750992129316584</v>
      </c>
      <c r="X41" s="60"/>
      <c r="Y41" s="60"/>
      <c r="Z41" s="36">
        <f t="array" ref="Z41:AB43">MMULT(AE36:AG38,Z36:AB38)</f>
        <v>0.94726625703300005</v>
      </c>
      <c r="AA41" s="37">
        <v>-6.498325113800002E-2</v>
      </c>
      <c r="AB41" s="38">
        <v>0.31378851564800003</v>
      </c>
      <c r="AC41" s="60"/>
      <c r="AD41" s="60"/>
      <c r="AE41" s="60"/>
      <c r="AF41" s="60"/>
      <c r="AG41" s="61"/>
    </row>
    <row r="42" spans="1:33" x14ac:dyDescent="0.25">
      <c r="O42" s="22"/>
      <c r="P42" s="60"/>
      <c r="Q42" s="60"/>
      <c r="R42" s="60"/>
      <c r="S42" s="60"/>
      <c r="T42" s="60"/>
      <c r="U42" s="39">
        <v>-0.75364436098582599</v>
      </c>
      <c r="V42" s="40">
        <v>-0.57155689174756819</v>
      </c>
      <c r="W42" s="41">
        <v>0.32456719087085417</v>
      </c>
      <c r="X42" s="60"/>
      <c r="Y42" s="60"/>
      <c r="Z42" s="39">
        <v>-3.038933939099997E-2</v>
      </c>
      <c r="AA42" s="40">
        <v>0.95659089227600003</v>
      </c>
      <c r="AB42" s="41">
        <v>0.28984575571799998</v>
      </c>
      <c r="AC42" s="60"/>
      <c r="AD42" s="60"/>
      <c r="AE42" s="60"/>
      <c r="AF42" s="60"/>
      <c r="AG42" s="61"/>
    </row>
    <row r="43" spans="1:33" ht="15.75" thickBot="1" x14ac:dyDescent="0.3">
      <c r="O43" s="29"/>
      <c r="P43" s="30"/>
      <c r="Q43" s="30"/>
      <c r="R43" s="30"/>
      <c r="S43" s="30"/>
      <c r="T43" s="30"/>
      <c r="U43" s="42">
        <v>0.6572728779424728</v>
      </c>
      <c r="V43" s="43">
        <v>-0.65261806929035171</v>
      </c>
      <c r="W43" s="44">
        <v>0.37693949384610254</v>
      </c>
      <c r="X43" s="30"/>
      <c r="Y43" s="30"/>
      <c r="Z43" s="42">
        <v>-0.319002873992</v>
      </c>
      <c r="AA43" s="43">
        <v>-0.28409650708500001</v>
      </c>
      <c r="AB43" s="44">
        <v>0.90417172894999998</v>
      </c>
      <c r="AC43" s="30"/>
      <c r="AD43" s="30"/>
      <c r="AE43" s="30"/>
      <c r="AF43" s="30"/>
      <c r="AG43" s="31"/>
    </row>
    <row r="45" spans="1:33" x14ac:dyDescent="0.25"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33" x14ac:dyDescent="0.25"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33" x14ac:dyDescent="0.25"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33" x14ac:dyDescent="0.25">
      <c r="N48" s="47"/>
      <c r="O48" s="47"/>
      <c r="P48" s="47"/>
      <c r="Q48" s="45"/>
      <c r="R48" s="45"/>
      <c r="S48" s="34"/>
      <c r="T48" s="34"/>
      <c r="U48" s="53"/>
      <c r="V48" s="45"/>
      <c r="W48" s="45"/>
      <c r="X48" s="45"/>
      <c r="Y48" s="45"/>
      <c r="Z48" s="45"/>
    </row>
    <row r="50" spans="4:24" x14ac:dyDescent="0.25">
      <c r="S50" s="47"/>
      <c r="T50" s="47"/>
      <c r="U50" s="47"/>
      <c r="V50" s="47"/>
      <c r="W50" s="47"/>
      <c r="X50" s="47"/>
    </row>
    <row r="51" spans="4:24" x14ac:dyDescent="0.25">
      <c r="S51" s="47"/>
      <c r="T51" s="47"/>
      <c r="U51" s="47"/>
      <c r="V51" s="47"/>
      <c r="W51" s="47"/>
      <c r="X51" s="47"/>
    </row>
    <row r="52" spans="4:24" x14ac:dyDescent="0.25">
      <c r="S52" s="47"/>
      <c r="T52" s="47"/>
      <c r="U52" s="47"/>
      <c r="V52" s="47"/>
      <c r="W52" s="47"/>
      <c r="X52" s="47"/>
    </row>
    <row r="53" spans="4:24" x14ac:dyDescent="0.25">
      <c r="D53" s="105" t="s">
        <v>35</v>
      </c>
      <c r="E53" s="105"/>
      <c r="F53" s="105"/>
      <c r="G53" s="75" t="s">
        <v>30</v>
      </c>
      <c r="I53" s="105" t="s">
        <v>34</v>
      </c>
      <c r="J53" s="105"/>
      <c r="K53" s="105"/>
      <c r="L53" s="75" t="s">
        <v>31</v>
      </c>
      <c r="N53" s="111" t="s">
        <v>36</v>
      </c>
      <c r="O53" s="111"/>
      <c r="P53" s="111"/>
      <c r="Q53" s="75" t="s">
        <v>32</v>
      </c>
      <c r="S53" s="75" t="s">
        <v>37</v>
      </c>
      <c r="T53" s="47"/>
      <c r="U53" s="47"/>
      <c r="V53" s="47"/>
      <c r="W53" s="47"/>
      <c r="X53" s="47"/>
    </row>
    <row r="54" spans="4:24" x14ac:dyDescent="0.25">
      <c r="D54" s="52">
        <v>-0.19020200000000001</v>
      </c>
      <c r="E54" s="52">
        <v>0.69673300000000005</v>
      </c>
      <c r="F54" s="52">
        <v>0.69165500000000002</v>
      </c>
      <c r="G54" s="72">
        <v>-72.599999999999994</v>
      </c>
      <c r="H54" s="33"/>
      <c r="I54" s="52">
        <v>0.45171099999999997</v>
      </c>
      <c r="J54" s="52">
        <v>-0.80075499999999999</v>
      </c>
      <c r="K54" s="52">
        <v>0.39338000000000001</v>
      </c>
      <c r="L54" s="72">
        <v>245.525057</v>
      </c>
      <c r="N54" s="52">
        <v>0.60336500000000004</v>
      </c>
      <c r="O54" s="52">
        <v>0.446515</v>
      </c>
      <c r="P54" s="52">
        <v>0.66073800000000005</v>
      </c>
      <c r="Q54" s="74">
        <v>335.98722800000002</v>
      </c>
      <c r="S54" s="76">
        <v>70.919628000000003</v>
      </c>
      <c r="T54" s="47"/>
      <c r="U54" s="47"/>
      <c r="V54" s="47"/>
      <c r="W54" s="47"/>
      <c r="X54" s="47"/>
    </row>
    <row r="55" spans="4:24" x14ac:dyDescent="0.25">
      <c r="D55" s="52">
        <v>-0.90742299999999998</v>
      </c>
      <c r="E55" s="52">
        <v>-0.39366299999999999</v>
      </c>
      <c r="F55" s="52">
        <v>0.14701600000000001</v>
      </c>
      <c r="G55" s="72">
        <v>-123.2</v>
      </c>
      <c r="H55" s="33"/>
      <c r="I55" s="52">
        <v>0.70823800000000003</v>
      </c>
      <c r="J55" s="52">
        <v>5.3709E-2</v>
      </c>
      <c r="K55" s="52">
        <v>-0.703928</v>
      </c>
      <c r="L55" s="72">
        <v>7.9299629999999999</v>
      </c>
      <c r="N55" s="52">
        <v>-0.66570300000000004</v>
      </c>
      <c r="O55" s="52">
        <v>-0.174176</v>
      </c>
      <c r="P55" s="52">
        <v>0.72560500000000006</v>
      </c>
      <c r="Q55" s="74">
        <v>-55.320321999999997</v>
      </c>
      <c r="S55" s="76">
        <v>8.9881049999999991</v>
      </c>
      <c r="T55" s="47"/>
      <c r="U55" s="47"/>
      <c r="V55" s="47"/>
      <c r="W55" s="47"/>
      <c r="X55" s="47"/>
    </row>
    <row r="56" spans="4:24" x14ac:dyDescent="0.25">
      <c r="D56" s="52">
        <v>0.37470999999999999</v>
      </c>
      <c r="E56" s="52">
        <v>-0.599661</v>
      </c>
      <c r="F56" s="52">
        <v>0.70710700000000004</v>
      </c>
      <c r="G56" s="72">
        <v>-41.5</v>
      </c>
      <c r="H56" s="33"/>
      <c r="I56" s="52">
        <v>0.54254599999999997</v>
      </c>
      <c r="J56" s="52">
        <v>0.59657899999999997</v>
      </c>
      <c r="K56" s="52">
        <v>0.59138599999999997</v>
      </c>
      <c r="L56" s="72">
        <v>-69.133002000000005</v>
      </c>
      <c r="N56" s="52">
        <v>0.43907800000000002</v>
      </c>
      <c r="O56" s="52">
        <v>-0.87766</v>
      </c>
      <c r="P56" s="52">
        <v>0.19215499999999999</v>
      </c>
      <c r="Q56" s="74">
        <v>-157.38467</v>
      </c>
      <c r="S56" s="76">
        <v>41.277965000000002</v>
      </c>
      <c r="T56" s="47"/>
      <c r="U56" s="47"/>
      <c r="V56" s="47"/>
      <c r="W56" s="47"/>
      <c r="X56" s="47"/>
    </row>
    <row r="57" spans="4:24" x14ac:dyDescent="0.25">
      <c r="D57" s="50">
        <v>0</v>
      </c>
      <c r="E57" s="50">
        <v>0</v>
      </c>
      <c r="F57" s="50">
        <v>0</v>
      </c>
      <c r="G57" s="88">
        <v>1</v>
      </c>
      <c r="H57" s="33"/>
      <c r="I57" s="50">
        <v>0</v>
      </c>
      <c r="J57" s="50">
        <v>0</v>
      </c>
      <c r="K57" s="50">
        <v>0</v>
      </c>
      <c r="L57" s="88">
        <v>1</v>
      </c>
      <c r="N57" s="50"/>
      <c r="O57" s="50"/>
      <c r="P57" s="50"/>
      <c r="Q57" s="76"/>
      <c r="S57" s="76"/>
      <c r="T57" s="47"/>
      <c r="U57" s="47"/>
      <c r="V57" s="47"/>
      <c r="W57" s="47"/>
      <c r="X57" s="47"/>
    </row>
    <row r="58" spans="4:24" ht="15.75" thickBot="1" x14ac:dyDescent="0.3">
      <c r="D58" s="56"/>
      <c r="E58" s="56"/>
      <c r="F58" s="56"/>
      <c r="G58" s="56"/>
      <c r="H58" s="47"/>
      <c r="I58" s="56"/>
      <c r="J58" s="56"/>
      <c r="K58" s="56"/>
      <c r="L58" s="56"/>
      <c r="M58" s="47"/>
      <c r="N58" s="56"/>
      <c r="O58" s="56"/>
      <c r="P58" s="56"/>
      <c r="Q58" s="47"/>
      <c r="S58" s="47"/>
      <c r="T58" s="47"/>
      <c r="U58" s="47"/>
      <c r="V58" s="47"/>
      <c r="W58" s="47"/>
      <c r="X58" s="47"/>
    </row>
    <row r="59" spans="4:24" ht="15.75" thickBot="1" x14ac:dyDescent="0.3">
      <c r="D59" s="106" t="s">
        <v>33</v>
      </c>
      <c r="E59" s="106"/>
      <c r="F59" s="106"/>
      <c r="G59" s="47"/>
      <c r="H59" s="47"/>
      <c r="I59" s="107" t="s">
        <v>38</v>
      </c>
      <c r="J59" s="108"/>
      <c r="K59" s="109"/>
      <c r="L59" s="47"/>
      <c r="M59" s="47"/>
      <c r="N59" s="47"/>
      <c r="O59" s="47"/>
      <c r="S59" s="47"/>
      <c r="T59" s="47"/>
      <c r="U59" s="47"/>
      <c r="V59" s="47"/>
      <c r="W59" s="47"/>
      <c r="X59" s="47"/>
    </row>
    <row r="60" spans="4:24" x14ac:dyDescent="0.25">
      <c r="D60" s="73">
        <f t="array" ref="D60:F62">MMULT(N54:P56,I54:K56)</f>
        <v>0.94726625703300005</v>
      </c>
      <c r="E60" s="73">
        <v>-6.498325113800002E-2</v>
      </c>
      <c r="F60" s="73">
        <v>0.31378851564800003</v>
      </c>
      <c r="G60" s="47"/>
      <c r="H60" s="47"/>
      <c r="I60" s="81">
        <f t="array" ref="I60:K62">MMULT(D60:F62,D54:F56)</f>
        <v>-3.6249452243311969E-3</v>
      </c>
      <c r="J60" s="80">
        <v>0.49740642757211651</v>
      </c>
      <c r="K60" s="82">
        <v>0.86750992129316584</v>
      </c>
      <c r="L60" s="47"/>
      <c r="M60" s="47">
        <v>1</v>
      </c>
      <c r="N60" s="47">
        <v>0</v>
      </c>
      <c r="O60" s="47">
        <v>0</v>
      </c>
      <c r="P60" s="72">
        <v>245.525057</v>
      </c>
      <c r="Q60" s="54"/>
      <c r="R60" s="54"/>
      <c r="S60" s="47"/>
      <c r="T60" s="47"/>
      <c r="U60" s="47"/>
      <c r="V60" s="47"/>
      <c r="W60" s="47"/>
      <c r="X60" s="47"/>
    </row>
    <row r="61" spans="4:24" x14ac:dyDescent="0.25">
      <c r="D61" s="1">
        <v>-3.038933939099997E-2</v>
      </c>
      <c r="E61" s="1">
        <v>0.95659089227600003</v>
      </c>
      <c r="F61" s="1">
        <v>0.28984575571799998</v>
      </c>
      <c r="I61" s="83">
        <v>-0.75364436098582599</v>
      </c>
      <c r="J61" s="77">
        <v>-0.57155689174756819</v>
      </c>
      <c r="K61" s="84">
        <v>0.32456719087085417</v>
      </c>
      <c r="M61" s="18">
        <v>0</v>
      </c>
      <c r="N61" s="18">
        <v>1</v>
      </c>
      <c r="O61" s="18">
        <v>0</v>
      </c>
      <c r="P61" s="72">
        <v>7.9299629999999999</v>
      </c>
    </row>
    <row r="62" spans="4:24" ht="15.75" thickBot="1" x14ac:dyDescent="0.3">
      <c r="D62" s="1">
        <v>-0.319002873992</v>
      </c>
      <c r="E62" s="1">
        <v>-0.28409650708500001</v>
      </c>
      <c r="F62" s="1">
        <v>0.90417172894999998</v>
      </c>
      <c r="I62" s="85">
        <v>0.6572728779424728</v>
      </c>
      <c r="J62" s="86">
        <v>-0.65261806929035171</v>
      </c>
      <c r="K62" s="87">
        <v>0.37693949384610254</v>
      </c>
      <c r="M62" s="18">
        <v>0</v>
      </c>
      <c r="N62" s="18">
        <v>0</v>
      </c>
      <c r="O62" s="18">
        <v>1</v>
      </c>
      <c r="P62" s="72">
        <v>-69.133002000000005</v>
      </c>
    </row>
    <row r="63" spans="4:24" x14ac:dyDescent="0.25">
      <c r="M63" s="18">
        <v>0</v>
      </c>
      <c r="N63" s="18">
        <v>0</v>
      </c>
      <c r="O63" s="18">
        <v>0</v>
      </c>
      <c r="P63" s="88">
        <v>1</v>
      </c>
    </row>
    <row r="65" spans="4:22" x14ac:dyDescent="0.25">
      <c r="D65" s="105" t="s">
        <v>40</v>
      </c>
      <c r="E65" s="105"/>
      <c r="F65" s="105"/>
      <c r="I65" s="105" t="s">
        <v>41</v>
      </c>
      <c r="J65" s="105"/>
      <c r="K65" s="105"/>
      <c r="N65" s="105" t="s">
        <v>39</v>
      </c>
      <c r="O65" s="105"/>
      <c r="P65" s="105"/>
    </row>
    <row r="66" spans="4:22" x14ac:dyDescent="0.25">
      <c r="D66" s="1">
        <f t="array" ref="D66:F68">TRANSPOSE(D54:F56)</f>
        <v>-0.19020200000000001</v>
      </c>
      <c r="E66" s="1">
        <v>-0.90742299999999998</v>
      </c>
      <c r="F66" s="1">
        <v>0.37470999999999999</v>
      </c>
      <c r="I66" s="1">
        <f t="array" ref="I66:K68">TRANSPOSE(I54:K56)</f>
        <v>0.45171099999999997</v>
      </c>
      <c r="J66" s="1">
        <v>0.70823800000000003</v>
      </c>
      <c r="K66" s="1">
        <v>0.54254599999999997</v>
      </c>
      <c r="N66" s="1">
        <f t="array" ref="N66:P68">TRANSPOSE(N54:P56)</f>
        <v>0.60336500000000004</v>
      </c>
      <c r="O66" s="1">
        <v>-0.66570300000000004</v>
      </c>
      <c r="P66" s="1">
        <v>0.43907800000000002</v>
      </c>
    </row>
    <row r="67" spans="4:22" x14ac:dyDescent="0.25">
      <c r="D67" s="1">
        <v>0.69673300000000005</v>
      </c>
      <c r="E67" s="1">
        <v>-0.39366299999999999</v>
      </c>
      <c r="F67" s="1">
        <v>-0.599661</v>
      </c>
      <c r="I67" s="1">
        <v>-0.80075499999999999</v>
      </c>
      <c r="J67" s="1">
        <v>5.3709E-2</v>
      </c>
      <c r="K67" s="1">
        <v>0.59657899999999997</v>
      </c>
      <c r="N67" s="1">
        <v>0.446515</v>
      </c>
      <c r="O67" s="1">
        <v>-0.174176</v>
      </c>
      <c r="P67" s="1">
        <v>-0.87766</v>
      </c>
    </row>
    <row r="68" spans="4:22" x14ac:dyDescent="0.25">
      <c r="D68" s="1">
        <v>0.69165500000000002</v>
      </c>
      <c r="E68" s="1">
        <v>0.14701600000000001</v>
      </c>
      <c r="F68" s="1">
        <v>0.70710700000000004</v>
      </c>
      <c r="I68" s="1">
        <v>0.39338000000000001</v>
      </c>
      <c r="J68" s="1">
        <v>-0.703928</v>
      </c>
      <c r="K68" s="1">
        <v>0.59138599999999997</v>
      </c>
      <c r="N68" s="1">
        <v>0.66073800000000005</v>
      </c>
      <c r="O68" s="1">
        <v>0.72560500000000006</v>
      </c>
      <c r="P68" s="1">
        <v>0.19215499999999999</v>
      </c>
    </row>
    <row r="71" spans="4:22" x14ac:dyDescent="0.25">
      <c r="E71" s="18" t="s">
        <v>47</v>
      </c>
      <c r="G71" s="18" t="s">
        <v>46</v>
      </c>
      <c r="J71" s="75" t="s">
        <v>45</v>
      </c>
      <c r="L71" s="18" t="s">
        <v>44</v>
      </c>
      <c r="O71" s="75" t="s">
        <v>43</v>
      </c>
      <c r="Q71" s="75" t="s">
        <v>42</v>
      </c>
    </row>
    <row r="72" spans="4:22" x14ac:dyDescent="0.25">
      <c r="E72" s="78">
        <f>G54+G72</f>
        <v>223.80006305145892</v>
      </c>
      <c r="G72" s="18">
        <f>D66*J72+E66*J73+F66*J74</f>
        <v>296.40006305145891</v>
      </c>
      <c r="J72" s="18">
        <f>L54+L72</f>
        <v>326.46464488951665</v>
      </c>
      <c r="L72" s="18">
        <f>I66*O72+J66*O73+K66*O74</f>
        <v>80.939587889516616</v>
      </c>
      <c r="O72" s="18">
        <f>Q54+Q72</f>
        <v>390.91848720167502</v>
      </c>
      <c r="Q72" s="18">
        <f>N66*S54+O66*S55+P66*S56</f>
        <v>54.931259201675012</v>
      </c>
    </row>
    <row r="73" spans="4:22" x14ac:dyDescent="0.25">
      <c r="E73" s="78">
        <f>G55+G73</f>
        <v>205.59988565383361</v>
      </c>
      <c r="G73" s="18">
        <f>D67*J72+E67*J73+F67*J74</f>
        <v>328.7998856538336</v>
      </c>
      <c r="J73" s="18">
        <f>L55+L73</f>
        <v>-365.71465226656204</v>
      </c>
      <c r="L73" s="18">
        <f>I67*O72+J67*O73+K67*O74</f>
        <v>-373.64461526656203</v>
      </c>
      <c r="O73" s="18">
        <f>Q55+Q73</f>
        <v>-61.447175241959997</v>
      </c>
      <c r="Q73" s="18">
        <f>N67*S54+O67*S55+P67*S56</f>
        <v>-6.1268532419599993</v>
      </c>
    </row>
    <row r="74" spans="4:22" x14ac:dyDescent="0.25">
      <c r="E74" s="78">
        <f>G56+G74</f>
        <v>180.79997182688254</v>
      </c>
      <c r="G74" s="18">
        <f>D68*J72+E68*J73+F68*J74</f>
        <v>222.29997182688254</v>
      </c>
      <c r="J74" s="18">
        <f>L56+L74</f>
        <v>71.085384791049677</v>
      </c>
      <c r="L74" s="18">
        <f>I68*O72+J68*O73+K68*O74</f>
        <v>140.21838679104968</v>
      </c>
      <c r="O74" s="18">
        <f>Q56+Q74</f>
        <v>-96.071795541435989</v>
      </c>
      <c r="Q74" s="18">
        <f>N68*S54+O68*S55+P68*S56</f>
        <v>61.312874458564004</v>
      </c>
    </row>
    <row r="77" spans="4:22" x14ac:dyDescent="0.25">
      <c r="D77" s="18" t="s">
        <v>48</v>
      </c>
      <c r="I77" s="18" t="s">
        <v>49</v>
      </c>
      <c r="N77" s="18" t="s">
        <v>50</v>
      </c>
      <c r="S77" s="18" t="s">
        <v>51</v>
      </c>
    </row>
    <row r="78" spans="4:22" x14ac:dyDescent="0.25">
      <c r="D78" s="48">
        <f>D54</f>
        <v>-0.19020200000000001</v>
      </c>
      <c r="E78" s="48">
        <f t="shared" ref="E78:F78" si="5">E54</f>
        <v>0.69673300000000005</v>
      </c>
      <c r="F78" s="48">
        <f t="shared" si="5"/>
        <v>0.69165500000000002</v>
      </c>
      <c r="G78" s="48">
        <v>0</v>
      </c>
      <c r="I78" s="89">
        <v>1</v>
      </c>
      <c r="J78" s="89">
        <v>0</v>
      </c>
      <c r="K78" s="89">
        <v>0</v>
      </c>
      <c r="L78" s="89">
        <f>G54</f>
        <v>-72.599999999999994</v>
      </c>
      <c r="N78" s="48">
        <f>I54</f>
        <v>0.45171099999999997</v>
      </c>
      <c r="O78" s="48">
        <f t="shared" ref="O78:P78" si="6">J54</f>
        <v>-0.80075499999999999</v>
      </c>
      <c r="P78" s="48">
        <f t="shared" si="6"/>
        <v>0.39338000000000001</v>
      </c>
      <c r="Q78" s="48">
        <v>0</v>
      </c>
      <c r="S78" s="89">
        <v>1</v>
      </c>
      <c r="T78" s="89">
        <v>0</v>
      </c>
      <c r="U78" s="89">
        <v>0</v>
      </c>
      <c r="V78" s="89">
        <f>L54</f>
        <v>245.525057</v>
      </c>
    </row>
    <row r="79" spans="4:22" x14ac:dyDescent="0.25">
      <c r="D79" s="48">
        <f t="shared" ref="D79:F79" si="7">D55</f>
        <v>-0.90742299999999998</v>
      </c>
      <c r="E79" s="48">
        <f t="shared" si="7"/>
        <v>-0.39366299999999999</v>
      </c>
      <c r="F79" s="48">
        <f t="shared" si="7"/>
        <v>0.14701600000000001</v>
      </c>
      <c r="G79" s="48">
        <v>0</v>
      </c>
      <c r="I79" s="89">
        <v>0</v>
      </c>
      <c r="J79" s="89">
        <v>1</v>
      </c>
      <c r="K79" s="89">
        <v>0</v>
      </c>
      <c r="L79" s="89">
        <f t="shared" ref="L79:L80" si="8">G55</f>
        <v>-123.2</v>
      </c>
      <c r="N79" s="48">
        <f t="shared" ref="N79:N81" si="9">I55</f>
        <v>0.70823800000000003</v>
      </c>
      <c r="O79" s="48">
        <f t="shared" ref="O79:O81" si="10">J55</f>
        <v>5.3709E-2</v>
      </c>
      <c r="P79" s="48">
        <f t="shared" ref="P79:P81" si="11">K55</f>
        <v>-0.703928</v>
      </c>
      <c r="Q79" s="48">
        <v>0</v>
      </c>
      <c r="S79" s="89">
        <v>0</v>
      </c>
      <c r="T79" s="89">
        <v>1</v>
      </c>
      <c r="U79" s="89">
        <v>0</v>
      </c>
      <c r="V79" s="89">
        <f t="shared" ref="V79:V80" si="12">L55</f>
        <v>7.9299629999999999</v>
      </c>
    </row>
    <row r="80" spans="4:22" x14ac:dyDescent="0.25">
      <c r="D80" s="48">
        <f t="shared" ref="D80:F80" si="13">D56</f>
        <v>0.37470999999999999</v>
      </c>
      <c r="E80" s="48">
        <f t="shared" si="13"/>
        <v>-0.599661</v>
      </c>
      <c r="F80" s="48">
        <f t="shared" si="13"/>
        <v>0.70710700000000004</v>
      </c>
      <c r="G80" s="48">
        <v>0</v>
      </c>
      <c r="I80" s="89">
        <v>0</v>
      </c>
      <c r="J80" s="89">
        <v>0</v>
      </c>
      <c r="K80" s="89">
        <v>1</v>
      </c>
      <c r="L80" s="89">
        <f t="shared" si="8"/>
        <v>-41.5</v>
      </c>
      <c r="N80" s="48">
        <f t="shared" si="9"/>
        <v>0.54254599999999997</v>
      </c>
      <c r="O80" s="48">
        <f t="shared" si="10"/>
        <v>0.59657899999999997</v>
      </c>
      <c r="P80" s="48">
        <f t="shared" si="11"/>
        <v>0.59138599999999997</v>
      </c>
      <c r="Q80" s="48">
        <v>0</v>
      </c>
      <c r="S80" s="89">
        <v>0</v>
      </c>
      <c r="T80" s="89">
        <v>0</v>
      </c>
      <c r="U80" s="89">
        <v>1</v>
      </c>
      <c r="V80" s="89">
        <f t="shared" si="12"/>
        <v>-69.133002000000005</v>
      </c>
    </row>
    <row r="81" spans="4:27" x14ac:dyDescent="0.25">
      <c r="D81" s="48">
        <v>0</v>
      </c>
      <c r="E81" s="48">
        <v>0</v>
      </c>
      <c r="F81" s="48">
        <v>0</v>
      </c>
      <c r="G81" s="48">
        <v>1</v>
      </c>
      <c r="I81" s="89">
        <v>0</v>
      </c>
      <c r="J81" s="89">
        <v>0</v>
      </c>
      <c r="K81" s="89">
        <v>0</v>
      </c>
      <c r="L81" s="89">
        <v>1</v>
      </c>
      <c r="N81" s="48">
        <f t="shared" si="9"/>
        <v>0</v>
      </c>
      <c r="O81" s="48">
        <f t="shared" si="10"/>
        <v>0</v>
      </c>
      <c r="P81" s="48">
        <f t="shared" si="11"/>
        <v>0</v>
      </c>
      <c r="Q81" s="48">
        <v>1</v>
      </c>
      <c r="S81" s="89">
        <v>0</v>
      </c>
      <c r="T81" s="89">
        <v>0</v>
      </c>
      <c r="U81" s="89">
        <v>0</v>
      </c>
      <c r="V81" s="89">
        <v>1</v>
      </c>
    </row>
    <row r="83" spans="4:27" x14ac:dyDescent="0.25">
      <c r="D83" s="18" t="s">
        <v>52</v>
      </c>
      <c r="I83" s="18" t="s">
        <v>53</v>
      </c>
    </row>
    <row r="84" spans="4:27" x14ac:dyDescent="0.25">
      <c r="D84" s="90">
        <f t="array" ref="D84:G87">MMULT(N78:Q81,D78:G81)</f>
        <v>0.78811058854299998</v>
      </c>
      <c r="E84" s="90">
        <v>0.39405493154800003</v>
      </c>
      <c r="F84" s="90">
        <v>0.47286612628499997</v>
      </c>
      <c r="G84" s="90">
        <v>0</v>
      </c>
      <c r="I84" s="18">
        <f t="array" ref="I84:L87">TRANSPOSE(D78:G81)</f>
        <v>-0.19020200000000001</v>
      </c>
      <c r="J84" s="18">
        <v>-0.90742299999999998</v>
      </c>
      <c r="K84" s="18">
        <v>0.37470999999999999</v>
      </c>
      <c r="L84" s="18">
        <v>0</v>
      </c>
      <c r="N84" s="18">
        <f t="array" ref="N84:Q87">MMULT(I84:L87,S78:V81)</f>
        <v>-0.19020200000000001</v>
      </c>
      <c r="O84" s="18">
        <v>-0.90742299999999998</v>
      </c>
      <c r="P84" s="18">
        <v>0.37470999999999999</v>
      </c>
      <c r="Q84" s="18">
        <v>-79.800014886282995</v>
      </c>
      <c r="S84" s="18">
        <f t="array" ref="S84:V87">MMULT(I78:L81,N84:Q87)</f>
        <v>-0.19020200000000001</v>
      </c>
      <c r="T84" s="18">
        <v>-0.90742299999999998</v>
      </c>
      <c r="U84" s="18">
        <v>0.37470999999999999</v>
      </c>
      <c r="V84" s="18">
        <v>-152.40001488628297</v>
      </c>
    </row>
    <row r="85" spans="4:27" x14ac:dyDescent="0.25">
      <c r="D85" s="90">
        <v>-0.44721392686300004</v>
      </c>
      <c r="E85" s="90">
        <v>0.894427708795</v>
      </c>
      <c r="F85" s="90">
        <v>1.9938000028751901E-8</v>
      </c>
      <c r="G85" s="90">
        <v>0</v>
      </c>
      <c r="I85" s="18">
        <v>0.69673300000000005</v>
      </c>
      <c r="J85" s="18">
        <v>-0.39366299999999999</v>
      </c>
      <c r="K85" s="18">
        <v>-0.599661</v>
      </c>
      <c r="L85" s="18">
        <v>0</v>
      </c>
      <c r="N85" s="18">
        <v>0.69673300000000005</v>
      </c>
      <c r="O85" s="18">
        <v>-0.39366299999999999</v>
      </c>
      <c r="P85" s="18">
        <v>-0.599661</v>
      </c>
      <c r="Q85" s="18">
        <v>209.40004162663402</v>
      </c>
      <c r="S85" s="18">
        <v>0.69673300000000005</v>
      </c>
      <c r="T85" s="18">
        <v>-0.39366299999999999</v>
      </c>
      <c r="U85" s="18">
        <v>-0.599661</v>
      </c>
      <c r="V85" s="18">
        <v>86.200041626634018</v>
      </c>
    </row>
    <row r="86" spans="4:27" x14ac:dyDescent="0.25">
      <c r="D86" s="90">
        <v>-0.42294459214899993</v>
      </c>
      <c r="E86" s="90">
        <v>-0.21147249680499994</v>
      </c>
      <c r="F86" s="90">
        <v>0.88113449219600004</v>
      </c>
      <c r="G86" s="90">
        <v>0</v>
      </c>
      <c r="I86" s="18">
        <v>0.69165500000000002</v>
      </c>
      <c r="J86" s="18">
        <v>0.14701600000000001</v>
      </c>
      <c r="K86" s="18">
        <v>0.70710700000000004</v>
      </c>
      <c r="L86" s="18">
        <v>0</v>
      </c>
      <c r="N86" s="18">
        <v>0.69165500000000002</v>
      </c>
      <c r="O86" s="18">
        <v>0.14701600000000001</v>
      </c>
      <c r="P86" s="18">
        <v>0.70710700000000004</v>
      </c>
      <c r="Q86" s="18">
        <v>122.10003509452901</v>
      </c>
      <c r="S86" s="18">
        <v>0.69165500000000002</v>
      </c>
      <c r="T86" s="18">
        <v>0.14701600000000001</v>
      </c>
      <c r="U86" s="18">
        <v>0.70710700000000004</v>
      </c>
      <c r="V86" s="18">
        <v>80.600035094529005</v>
      </c>
    </row>
    <row r="87" spans="4:27" x14ac:dyDescent="0.25">
      <c r="D87" s="90">
        <v>0</v>
      </c>
      <c r="E87" s="90">
        <v>0</v>
      </c>
      <c r="F87" s="90">
        <v>0</v>
      </c>
      <c r="G87" s="90">
        <v>1</v>
      </c>
      <c r="I87" s="18">
        <v>0</v>
      </c>
      <c r="J87" s="18">
        <v>0</v>
      </c>
      <c r="K87" s="18">
        <v>0</v>
      </c>
      <c r="L87" s="18">
        <v>1</v>
      </c>
      <c r="N87" s="18">
        <v>0</v>
      </c>
      <c r="O87" s="18">
        <v>0</v>
      </c>
      <c r="P87" s="18">
        <v>0</v>
      </c>
      <c r="Q87" s="18">
        <v>1</v>
      </c>
      <c r="S87" s="18">
        <v>0</v>
      </c>
      <c r="T87" s="18">
        <v>0</v>
      </c>
      <c r="U87" s="18">
        <v>0</v>
      </c>
      <c r="V87" s="18">
        <v>1</v>
      </c>
    </row>
    <row r="89" spans="4:27" x14ac:dyDescent="0.25">
      <c r="S89" s="96">
        <f t="array" ref="S89:V92">MMULT(S84:V87,D78:G81)</f>
        <v>1.0000008858329998</v>
      </c>
      <c r="T89" s="96">
        <v>-1.2292700002358714E-7</v>
      </c>
      <c r="U89" s="96">
        <v>1.998920000079174E-7</v>
      </c>
      <c r="V89" s="96">
        <v>-152.40001488628297</v>
      </c>
    </row>
    <row r="90" spans="4:27" x14ac:dyDescent="0.25">
      <c r="S90" s="96">
        <v>-1.2292700002358714E-7</v>
      </c>
      <c r="T90" s="96">
        <v>1.0000007457790001</v>
      </c>
      <c r="U90" s="96">
        <v>-3.872200000087922E-7</v>
      </c>
      <c r="V90" s="96">
        <v>86.200041626634018</v>
      </c>
    </row>
    <row r="91" spans="4:27" x14ac:dyDescent="0.25">
      <c r="S91" s="96">
        <v>1.998920000079174E-7</v>
      </c>
      <c r="T91" s="96">
        <v>-3.872200000087922E-7</v>
      </c>
      <c r="U91" s="96">
        <v>1.0000006527300001</v>
      </c>
      <c r="V91" s="96">
        <v>80.600035094529005</v>
      </c>
    </row>
    <row r="92" spans="4:27" x14ac:dyDescent="0.25">
      <c r="S92" s="96">
        <v>0</v>
      </c>
      <c r="T92" s="96">
        <v>0</v>
      </c>
      <c r="U92" s="96">
        <v>0</v>
      </c>
      <c r="V92" s="96">
        <v>1</v>
      </c>
    </row>
    <row r="94" spans="4:27" x14ac:dyDescent="0.25">
      <c r="S94" s="97">
        <f t="array" ref="S94:V97">MMULT(S89:V92,D84:G87)</f>
        <v>0.78811125710879282</v>
      </c>
      <c r="T94" s="97">
        <v>0.39405512839388684</v>
      </c>
      <c r="U94" s="97">
        <v>0.47286672129715263</v>
      </c>
      <c r="V94" s="97">
        <v>-152.40001488628297</v>
      </c>
    </row>
    <row r="95" spans="4:27" x14ac:dyDescent="0.25">
      <c r="S95" s="97">
        <v>-0.44721419349322061</v>
      </c>
      <c r="T95" s="97">
        <v>0.89442840928679201</v>
      </c>
      <c r="U95" s="97">
        <v>-3.7938289749477839E-7</v>
      </c>
      <c r="V95" s="97">
        <v>86.200041626634018</v>
      </c>
      <c r="X95" s="95"/>
      <c r="Y95" s="95"/>
      <c r="Z95" s="95"/>
      <c r="AA95" s="95"/>
    </row>
    <row r="96" spans="4:27" x14ac:dyDescent="0.25">
      <c r="S96" s="97">
        <v>-0.42294453751044503</v>
      </c>
      <c r="T96" s="97">
        <v>-0.21147290241131181</v>
      </c>
      <c r="U96" s="97">
        <v>0.88113516186106522</v>
      </c>
      <c r="V96" s="97">
        <v>80.600035094529005</v>
      </c>
      <c r="X96" s="95"/>
      <c r="Y96" s="95"/>
      <c r="Z96" s="95"/>
      <c r="AA96" s="95"/>
    </row>
    <row r="97" spans="14:27" x14ac:dyDescent="0.25">
      <c r="S97" s="97">
        <v>0</v>
      </c>
      <c r="T97" s="97">
        <v>0</v>
      </c>
      <c r="U97" s="97">
        <v>0</v>
      </c>
      <c r="V97" s="97">
        <v>1</v>
      </c>
      <c r="X97" s="95"/>
      <c r="Y97" s="95"/>
      <c r="Z97" s="95"/>
      <c r="AA97" s="95"/>
    </row>
    <row r="98" spans="14:27" x14ac:dyDescent="0.25">
      <c r="X98" s="95"/>
      <c r="Y98" s="95"/>
      <c r="Z98" s="95"/>
      <c r="AA98" s="95"/>
    </row>
    <row r="100" spans="14:27" x14ac:dyDescent="0.25">
      <c r="N100" s="94"/>
      <c r="O100" s="94"/>
      <c r="P100" s="94"/>
      <c r="Q100" s="94"/>
    </row>
    <row r="101" spans="14:27" x14ac:dyDescent="0.25">
      <c r="N101" s="94"/>
      <c r="O101" s="94"/>
      <c r="P101" s="94"/>
      <c r="Q101" s="94"/>
    </row>
    <row r="102" spans="14:27" x14ac:dyDescent="0.25">
      <c r="N102" s="94"/>
      <c r="O102" s="94"/>
      <c r="P102" s="94"/>
      <c r="Q102" s="94"/>
    </row>
    <row r="103" spans="14:27" x14ac:dyDescent="0.25">
      <c r="N103" s="94"/>
      <c r="O103" s="94"/>
      <c r="P103" s="94"/>
      <c r="Q103" s="94"/>
    </row>
  </sheetData>
  <mergeCells count="31">
    <mergeCell ref="B6:N6"/>
    <mergeCell ref="B1:N1"/>
    <mergeCell ref="B2:N2"/>
    <mergeCell ref="B3:N3"/>
    <mergeCell ref="B4:N4"/>
    <mergeCell ref="B5:N5"/>
    <mergeCell ref="C22:E22"/>
    <mergeCell ref="B9:E9"/>
    <mergeCell ref="G9:M9"/>
    <mergeCell ref="B11:E11"/>
    <mergeCell ref="G11:I11"/>
    <mergeCell ref="K11:M11"/>
    <mergeCell ref="Z13:AB13"/>
    <mergeCell ref="G19:M19"/>
    <mergeCell ref="G21:I21"/>
    <mergeCell ref="K21:M21"/>
    <mergeCell ref="O21:Q21"/>
    <mergeCell ref="U13:W13"/>
    <mergeCell ref="U35:W35"/>
    <mergeCell ref="D59:F59"/>
    <mergeCell ref="I59:K59"/>
    <mergeCell ref="Z35:AB35"/>
    <mergeCell ref="AE35:AG35"/>
    <mergeCell ref="D53:F53"/>
    <mergeCell ref="I53:K53"/>
    <mergeCell ref="N53:P53"/>
    <mergeCell ref="D65:F65"/>
    <mergeCell ref="I65:K65"/>
    <mergeCell ref="N65:P65"/>
    <mergeCell ref="C32:E32"/>
    <mergeCell ref="G32:I32"/>
  </mergeCells>
  <hyperlinks>
    <hyperlink ref="B6" r:id="rId1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AG79"/>
  <sheetViews>
    <sheetView topLeftCell="A34" zoomScaleNormal="100" workbookViewId="0">
      <selection activeCell="Q66" sqref="Q66"/>
    </sheetView>
  </sheetViews>
  <sheetFormatPr defaultRowHeight="15" x14ac:dyDescent="0.25"/>
  <cols>
    <col min="2" max="2" width="9.85546875" bestFit="1" customWidth="1"/>
    <col min="3" max="3" width="9.7109375" bestFit="1" customWidth="1"/>
    <col min="4" max="4" width="10" bestFit="1" customWidth="1"/>
    <col min="5" max="5" width="9.7109375" bestFit="1" customWidth="1"/>
    <col min="9" max="9" width="9.85546875" bestFit="1" customWidth="1"/>
    <col min="11" max="11" width="9.140625" customWidth="1"/>
    <col min="14" max="15" width="9.85546875" bestFit="1" customWidth="1"/>
    <col min="18" max="19" width="9.85546875" bestFit="1" customWidth="1"/>
  </cols>
  <sheetData>
    <row r="1" spans="1:28" x14ac:dyDescent="0.25">
      <c r="A1" s="21"/>
      <c r="B1" s="127" t="s">
        <v>6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9"/>
      <c r="O1" s="2"/>
    </row>
    <row r="2" spans="1:28" x14ac:dyDescent="0.25">
      <c r="A2" s="22"/>
      <c r="B2" s="128" t="s">
        <v>20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30"/>
      <c r="O2" s="3"/>
    </row>
    <row r="3" spans="1:28" x14ac:dyDescent="0.25">
      <c r="A3" s="22"/>
      <c r="B3" s="126" t="s">
        <v>7</v>
      </c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31"/>
      <c r="O3" s="2"/>
    </row>
    <row r="4" spans="1:28" x14ac:dyDescent="0.25">
      <c r="A4" s="22"/>
      <c r="B4" s="126" t="s">
        <v>11</v>
      </c>
      <c r="C4" s="126"/>
      <c r="D4" s="126"/>
      <c r="E4" s="126"/>
      <c r="F4" s="126"/>
      <c r="G4" s="126"/>
      <c r="H4" s="126"/>
      <c r="I4" s="126"/>
      <c r="J4" s="126"/>
      <c r="K4" s="126"/>
      <c r="L4" s="126"/>
      <c r="M4" s="126"/>
      <c r="N4" s="131"/>
    </row>
    <row r="5" spans="1:28" s="13" customFormat="1" x14ac:dyDescent="0.25">
      <c r="A5" s="22"/>
      <c r="B5" s="126" t="s">
        <v>19</v>
      </c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31"/>
    </row>
    <row r="6" spans="1:28" s="11" customFormat="1" x14ac:dyDescent="0.25">
      <c r="A6" s="22"/>
      <c r="B6" s="125" t="s">
        <v>18</v>
      </c>
      <c r="C6" s="126"/>
      <c r="D6" s="126"/>
      <c r="E6" s="126"/>
      <c r="F6" s="126"/>
      <c r="G6" s="126"/>
      <c r="H6" s="126"/>
      <c r="I6" s="126"/>
      <c r="J6" s="126"/>
      <c r="K6" s="126"/>
      <c r="L6" s="126"/>
      <c r="M6" s="126"/>
      <c r="N6" s="131"/>
    </row>
    <row r="7" spans="1:28" s="11" customFormat="1" ht="15.75" thickBot="1" x14ac:dyDescent="0.3">
      <c r="A7" s="22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5"/>
    </row>
    <row r="8" spans="1:28" s="7" customFormat="1" ht="15.75" thickBot="1" x14ac:dyDescent="0.3">
      <c r="A8" s="22"/>
      <c r="B8" s="14" t="s">
        <v>21</v>
      </c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5"/>
    </row>
    <row r="9" spans="1:28" s="4" customFormat="1" ht="15.75" thickBot="1" x14ac:dyDescent="0.3">
      <c r="A9" s="22"/>
      <c r="B9" s="121" t="s">
        <v>14</v>
      </c>
      <c r="C9" s="122"/>
      <c r="D9" s="122"/>
      <c r="E9" s="123"/>
      <c r="F9" s="24"/>
      <c r="G9" s="121" t="s">
        <v>12</v>
      </c>
      <c r="H9" s="122"/>
      <c r="I9" s="122"/>
      <c r="J9" s="122"/>
      <c r="K9" s="122"/>
      <c r="L9" s="122"/>
      <c r="M9" s="123"/>
      <c r="N9" s="25"/>
    </row>
    <row r="10" spans="1:28" s="4" customFormat="1" x14ac:dyDescent="0.25">
      <c r="A10" s="22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5"/>
    </row>
    <row r="11" spans="1:28" s="4" customFormat="1" x14ac:dyDescent="0.25">
      <c r="A11" s="22"/>
      <c r="B11" s="124" t="s">
        <v>22</v>
      </c>
      <c r="C11" s="124"/>
      <c r="D11" s="124"/>
      <c r="E11" s="124"/>
      <c r="F11" s="24"/>
      <c r="G11" s="115" t="s">
        <v>15</v>
      </c>
      <c r="H11" s="116"/>
      <c r="I11" s="117"/>
      <c r="J11" s="24"/>
      <c r="K11" s="115" t="s">
        <v>16</v>
      </c>
      <c r="L11" s="116"/>
      <c r="M11" s="117"/>
      <c r="N11" s="26"/>
    </row>
    <row r="12" spans="1:28" s="4" customFormat="1" x14ac:dyDescent="0.25">
      <c r="A12" s="27"/>
      <c r="B12" s="9"/>
      <c r="C12" s="10" t="s">
        <v>0</v>
      </c>
      <c r="D12" s="10" t="s">
        <v>1</v>
      </c>
      <c r="E12" s="10" t="s">
        <v>4</v>
      </c>
      <c r="F12" s="24"/>
      <c r="G12" s="8" t="s">
        <v>0</v>
      </c>
      <c r="H12" s="8" t="s">
        <v>1</v>
      </c>
      <c r="I12" s="8" t="s">
        <v>4</v>
      </c>
      <c r="J12" s="24"/>
      <c r="K12" s="8" t="s">
        <v>2</v>
      </c>
      <c r="L12" s="8" t="s">
        <v>3</v>
      </c>
      <c r="M12" s="8" t="s">
        <v>5</v>
      </c>
      <c r="N12" s="26"/>
    </row>
    <row r="13" spans="1:28" s="4" customFormat="1" x14ac:dyDescent="0.25">
      <c r="A13" s="22"/>
      <c r="B13" s="1" t="s">
        <v>8</v>
      </c>
      <c r="C13" s="6">
        <v>-0.54604489204276685</v>
      </c>
      <c r="D13" s="6">
        <v>0.41012926041976627</v>
      </c>
      <c r="E13" s="6">
        <v>-0.73049912089032565</v>
      </c>
      <c r="F13" s="24"/>
      <c r="G13" s="15">
        <v>-72.599999999999994</v>
      </c>
      <c r="H13" s="15">
        <v>-123.2</v>
      </c>
      <c r="I13" s="15">
        <v>-41.5</v>
      </c>
      <c r="J13" s="23"/>
      <c r="K13" s="16">
        <f>($C$13*G13)+($D$13*H13)+($E$13*I13)</f>
        <v>19.430647795538178</v>
      </c>
      <c r="L13" s="16">
        <f>($C$14*G13)+($D$14*H13)+($E$14*I13)</f>
        <v>-124.24271591894237</v>
      </c>
      <c r="M13" s="16">
        <f>($C$15*G13)+($D$15*H13)+($E$15*I13)</f>
        <v>79.733603125224036</v>
      </c>
      <c r="N13" s="26"/>
      <c r="P13" s="34"/>
      <c r="Q13" s="34"/>
      <c r="R13" s="34"/>
      <c r="U13" s="105" t="s">
        <v>27</v>
      </c>
      <c r="V13" s="105"/>
      <c r="W13" s="105"/>
      <c r="Z13" s="105" t="s">
        <v>26</v>
      </c>
      <c r="AA13" s="105"/>
      <c r="AB13" s="105"/>
    </row>
    <row r="14" spans="1:28" s="4" customFormat="1" x14ac:dyDescent="0.25">
      <c r="A14" s="22"/>
      <c r="B14" s="1" t="s">
        <v>9</v>
      </c>
      <c r="C14" s="6">
        <v>0.74492741158036579</v>
      </c>
      <c r="D14" s="6">
        <v>0.63665297600805792</v>
      </c>
      <c r="E14" s="6">
        <v>-0.19938941701168506</v>
      </c>
      <c r="F14" s="24"/>
      <c r="G14" s="15">
        <v>-152.4</v>
      </c>
      <c r="H14" s="15">
        <v>86.199999999999989</v>
      </c>
      <c r="I14" s="15">
        <v>80.599999999999994</v>
      </c>
      <c r="J14" s="23"/>
      <c r="K14" s="16">
        <f>($C$13*G14)+($D$13*H14)+($E$13*I14)</f>
        <v>59.692154651741284</v>
      </c>
      <c r="L14" s="16">
        <f t="shared" ref="L14:L16" si="0">($C$14*G14)+($D$14*H14)+($E$14*I14)</f>
        <v>-74.718238004094985</v>
      </c>
      <c r="M14" s="16">
        <f t="shared" ref="M14:M16" si="1">($C$15*G14)+($D$15*H14)+($E$15*I14)</f>
        <v>-167.35170026801643</v>
      </c>
      <c r="N14" s="26"/>
      <c r="P14" s="34"/>
      <c r="Q14" s="34"/>
      <c r="R14" s="34"/>
      <c r="S14" s="33"/>
      <c r="T14" s="33"/>
      <c r="U14" s="32">
        <v>-0.19020200000000001</v>
      </c>
      <c r="V14" s="32">
        <v>0.69673300000000005</v>
      </c>
      <c r="W14" s="32">
        <v>0.69165500000000002</v>
      </c>
      <c r="X14" s="33"/>
      <c r="Y14" s="33"/>
      <c r="Z14" s="32">
        <v>0.45171099999999997</v>
      </c>
      <c r="AA14" s="32">
        <v>-0.80075499999999999</v>
      </c>
      <c r="AB14" s="32">
        <v>0.39338000000000001</v>
      </c>
    </row>
    <row r="15" spans="1:28" s="4" customFormat="1" x14ac:dyDescent="0.25">
      <c r="A15" s="22"/>
      <c r="B15" s="1" t="s">
        <v>10</v>
      </c>
      <c r="C15" s="6">
        <v>0.38329900515156512</v>
      </c>
      <c r="D15" s="6">
        <v>-0.65304439197317876</v>
      </c>
      <c r="E15" s="6">
        <v>-0.65315763393089243</v>
      </c>
      <c r="F15" s="24"/>
      <c r="G15" s="15">
        <v>203.7</v>
      </c>
      <c r="H15" s="15">
        <v>202.4</v>
      </c>
      <c r="I15" s="15">
        <v>100.8</v>
      </c>
      <c r="J15" s="23"/>
      <c r="K15" s="16">
        <f t="shared" ref="K15:K16" si="2">($C$13*G15)+($D$13*H15)+($E$13*I15)</f>
        <v>-101.85349358589572</v>
      </c>
      <c r="L15" s="16">
        <f t="shared" si="0"/>
        <v>260.50182284817356</v>
      </c>
      <c r="M15" s="16">
        <f t="shared" si="1"/>
        <v>-119.93646708623154</v>
      </c>
      <c r="N15" s="26"/>
      <c r="P15" s="34"/>
      <c r="Q15" s="34"/>
      <c r="R15" s="34"/>
      <c r="S15" s="33"/>
      <c r="T15" s="33"/>
      <c r="U15" s="32">
        <v>-0.90742299999999998</v>
      </c>
      <c r="V15" s="32">
        <v>-0.39366299999999999</v>
      </c>
      <c r="W15" s="32">
        <v>0.14701600000000001</v>
      </c>
      <c r="X15" s="33"/>
      <c r="Y15" s="33"/>
      <c r="Z15" s="32">
        <v>0.70823800000000003</v>
      </c>
      <c r="AA15" s="32">
        <v>5.3709E-2</v>
      </c>
      <c r="AB15" s="32">
        <v>-0.703928</v>
      </c>
    </row>
    <row r="16" spans="1:28" s="4" customFormat="1" x14ac:dyDescent="0.25">
      <c r="A16" s="22"/>
      <c r="B16" s="24"/>
      <c r="C16" s="24"/>
      <c r="D16" s="24"/>
      <c r="E16" s="24"/>
      <c r="F16" s="24"/>
      <c r="G16" s="15">
        <v>223.8</v>
      </c>
      <c r="H16" s="15">
        <v>205.6</v>
      </c>
      <c r="I16" s="15">
        <v>180.8</v>
      </c>
      <c r="J16" s="24"/>
      <c r="K16" s="16">
        <f t="shared" si="2"/>
        <v>-169.95651195383817</v>
      </c>
      <c r="L16" s="16">
        <f t="shared" si="0"/>
        <v>261.56099998322992</v>
      </c>
      <c r="M16" s="16">
        <f t="shared" si="1"/>
        <v>-166.57450985147062</v>
      </c>
      <c r="N16" s="26"/>
      <c r="P16" s="34"/>
      <c r="Q16" s="34"/>
      <c r="R16" s="34"/>
      <c r="S16" s="33"/>
      <c r="T16" s="33"/>
      <c r="U16" s="32">
        <v>0.37470999999999999</v>
      </c>
      <c r="V16" s="32">
        <v>-0.599661</v>
      </c>
      <c r="W16" s="32">
        <v>0.70710700000000004</v>
      </c>
      <c r="X16" s="33"/>
      <c r="Y16" s="33"/>
      <c r="Z16" s="32">
        <v>0.54254599999999997</v>
      </c>
      <c r="AA16" s="32">
        <v>0.59657899999999997</v>
      </c>
      <c r="AB16" s="32">
        <v>0.59138599999999997</v>
      </c>
    </row>
    <row r="17" spans="1:23" s="4" customFormat="1" x14ac:dyDescent="0.25">
      <c r="A17" s="22"/>
      <c r="B17" s="24"/>
      <c r="C17" s="24"/>
      <c r="D17" s="24"/>
      <c r="E17" s="24"/>
      <c r="F17" s="24"/>
      <c r="G17" s="24"/>
      <c r="H17" s="23"/>
      <c r="I17" s="23"/>
      <c r="J17" s="23"/>
      <c r="K17" s="23"/>
      <c r="L17" s="23"/>
      <c r="M17" s="23"/>
      <c r="N17" s="26"/>
    </row>
    <row r="18" spans="1:23" s="4" customFormat="1" ht="15.75" thickBot="1" x14ac:dyDescent="0.3">
      <c r="A18" s="22"/>
      <c r="B18" s="24"/>
      <c r="C18" s="24"/>
      <c r="D18" s="24"/>
      <c r="E18" s="24"/>
      <c r="F18" s="24"/>
      <c r="G18" s="24"/>
      <c r="H18" s="23"/>
      <c r="I18" s="23"/>
      <c r="J18" s="23"/>
      <c r="K18" s="23"/>
      <c r="L18" s="23"/>
      <c r="M18" s="23"/>
      <c r="N18" s="26"/>
    </row>
    <row r="19" spans="1:23" s="4" customFormat="1" ht="15.75" thickBot="1" x14ac:dyDescent="0.3">
      <c r="A19" s="22"/>
      <c r="B19" s="23"/>
      <c r="C19" s="23"/>
      <c r="D19" s="23"/>
      <c r="E19" s="23"/>
      <c r="F19" s="23"/>
      <c r="G19" s="112" t="s">
        <v>13</v>
      </c>
      <c r="H19" s="113"/>
      <c r="I19" s="113"/>
      <c r="J19" s="113"/>
      <c r="K19" s="113"/>
      <c r="L19" s="113"/>
      <c r="M19" s="114"/>
      <c r="N19" s="28"/>
      <c r="U19" s="36">
        <f t="array" ref="U19:W21">MMULT(Z14:AB16,U14:W16)</f>
        <v>0.78811058854299998</v>
      </c>
      <c r="V19" s="37">
        <v>0.39405493154800003</v>
      </c>
      <c r="W19" s="38">
        <v>0.47286612628499997</v>
      </c>
    </row>
    <row r="20" spans="1:23" s="4" customFormat="1" x14ac:dyDescent="0.25">
      <c r="A20" s="22"/>
      <c r="B20" s="24"/>
      <c r="C20" s="24"/>
      <c r="D20" s="24"/>
      <c r="E20" s="24"/>
      <c r="F20" s="24"/>
      <c r="G20" s="24"/>
      <c r="H20" s="23"/>
      <c r="I20" s="23"/>
      <c r="J20" s="23"/>
      <c r="K20" s="23"/>
      <c r="L20" s="23"/>
      <c r="M20" s="23"/>
      <c r="N20" s="26"/>
      <c r="U20" s="39">
        <v>-0.44721392686300004</v>
      </c>
      <c r="V20" s="40">
        <v>0.894427708795</v>
      </c>
      <c r="W20" s="41">
        <v>1.9938000028751901E-8</v>
      </c>
    </row>
    <row r="21" spans="1:23" s="5" customFormat="1" ht="15.75" thickBot="1" x14ac:dyDescent="0.3">
      <c r="A21" s="22"/>
      <c r="B21" s="23"/>
      <c r="C21" s="23"/>
      <c r="D21" s="23"/>
      <c r="E21" s="23"/>
      <c r="F21" s="24"/>
      <c r="G21" s="115" t="s">
        <v>17</v>
      </c>
      <c r="H21" s="116"/>
      <c r="I21" s="117"/>
      <c r="J21" s="24"/>
      <c r="K21" s="115" t="s">
        <v>16</v>
      </c>
      <c r="L21" s="116"/>
      <c r="M21" s="117"/>
      <c r="N21" s="25"/>
      <c r="O21" s="132"/>
      <c r="P21" s="132"/>
      <c r="Q21" s="132"/>
      <c r="R21" s="7"/>
      <c r="S21" s="7"/>
      <c r="T21" s="7"/>
      <c r="U21" s="42">
        <v>-0.42294459214899993</v>
      </c>
      <c r="V21" s="43">
        <v>-0.21147249680499994</v>
      </c>
      <c r="W21" s="44">
        <v>0.88113449219600004</v>
      </c>
    </row>
    <row r="22" spans="1:23" s="7" customFormat="1" x14ac:dyDescent="0.25">
      <c r="A22" s="22"/>
      <c r="B22" s="17"/>
      <c r="C22" s="120" t="s">
        <v>23</v>
      </c>
      <c r="D22" s="120"/>
      <c r="E22" s="120"/>
      <c r="F22" s="24"/>
      <c r="G22" s="8" t="s">
        <v>0</v>
      </c>
      <c r="H22" s="8" t="s">
        <v>1</v>
      </c>
      <c r="I22" s="8" t="s">
        <v>4</v>
      </c>
      <c r="J22" s="24"/>
      <c r="K22" s="8" t="s">
        <v>2</v>
      </c>
      <c r="L22" s="8" t="s">
        <v>3</v>
      </c>
      <c r="M22" s="8" t="s">
        <v>5</v>
      </c>
      <c r="N22" s="25"/>
    </row>
    <row r="23" spans="1:23" s="7" customFormat="1" x14ac:dyDescent="0.25">
      <c r="A23" s="22"/>
      <c r="B23" s="23"/>
      <c r="C23" s="19">
        <f t="array" ref="C23:E25">MINVERSE(C13:E15)</f>
        <v>-0.54604489204276674</v>
      </c>
      <c r="D23" s="20">
        <v>0.74492741158036568</v>
      </c>
      <c r="E23" s="20">
        <v>0.38329900515156501</v>
      </c>
      <c r="F23" s="24"/>
      <c r="G23" s="16">
        <f>K13</f>
        <v>19.430647795538178</v>
      </c>
      <c r="H23" s="16">
        <f t="shared" ref="H23:I23" si="3">L13</f>
        <v>-124.24271591894237</v>
      </c>
      <c r="I23" s="16">
        <f t="shared" si="3"/>
        <v>79.733603125224036</v>
      </c>
      <c r="J23" s="23"/>
      <c r="K23" s="15">
        <f>($C$23*G23)+($D$23*H23)+($E$23*I23)</f>
        <v>-72.600000000000009</v>
      </c>
      <c r="L23" s="15">
        <f>($C$24*G23)+($D$24*H23)+($E$24*I23)</f>
        <v>-123.19999999999999</v>
      </c>
      <c r="M23" s="15">
        <f>($C$25*G23)+($D$25*H23)+($E$25*I23)</f>
        <v>-41.500000000000007</v>
      </c>
      <c r="N23" s="25"/>
    </row>
    <row r="24" spans="1:23" s="5" customFormat="1" x14ac:dyDescent="0.25">
      <c r="A24" s="22"/>
      <c r="B24" s="23"/>
      <c r="C24" s="20">
        <v>0.41012926041976633</v>
      </c>
      <c r="D24" s="20">
        <v>0.63665297600805781</v>
      </c>
      <c r="E24" s="20">
        <v>-0.65304439197317865</v>
      </c>
      <c r="F24" s="24"/>
      <c r="G24" s="16">
        <f t="shared" ref="G24:G26" si="4">K14</f>
        <v>59.692154651741284</v>
      </c>
      <c r="H24" s="16">
        <f t="shared" ref="H24:H26" si="5">L14</f>
        <v>-74.718238004094985</v>
      </c>
      <c r="I24" s="16">
        <f t="shared" ref="I24:I26" si="6">M14</f>
        <v>-167.35170026801643</v>
      </c>
      <c r="J24" s="23"/>
      <c r="K24" s="15">
        <f>($C$23*G24)+($D$23*H24)+($E$23*I24)</f>
        <v>-152.39999999999998</v>
      </c>
      <c r="L24" s="15">
        <f>($C$24*G24)+($D$24*H24)+($E$24*I24)</f>
        <v>86.19999999999996</v>
      </c>
      <c r="M24" s="15">
        <f>($C$25*G24)+($D$25*H24)+($E$25*I24)</f>
        <v>80.59999999999998</v>
      </c>
      <c r="N24" s="25"/>
      <c r="O24" s="7"/>
      <c r="P24" s="7"/>
      <c r="Q24" s="7"/>
      <c r="R24" s="7"/>
      <c r="S24" s="7"/>
      <c r="T24" s="7"/>
      <c r="U24" s="7"/>
    </row>
    <row r="25" spans="1:23" s="5" customFormat="1" x14ac:dyDescent="0.25">
      <c r="A25" s="22"/>
      <c r="B25" s="23"/>
      <c r="C25" s="20">
        <v>-0.73049912089032576</v>
      </c>
      <c r="D25" s="20">
        <v>-0.19938941701168514</v>
      </c>
      <c r="E25" s="20">
        <v>-0.65315763393089254</v>
      </c>
      <c r="F25" s="24"/>
      <c r="G25" s="16">
        <f t="shared" si="4"/>
        <v>-101.85349358589572</v>
      </c>
      <c r="H25" s="16">
        <f t="shared" si="5"/>
        <v>260.50182284817356</v>
      </c>
      <c r="I25" s="16">
        <f t="shared" si="6"/>
        <v>-119.93646708623154</v>
      </c>
      <c r="J25" s="23"/>
      <c r="K25" s="15">
        <f>($C$23*G25)+($D$23*H25)+($E$23*I25)</f>
        <v>203.7</v>
      </c>
      <c r="L25" s="15">
        <f>($C$24*G25)+($D$24*H25)+($E$24*I25)</f>
        <v>202.39999999999998</v>
      </c>
      <c r="M25" s="15">
        <f>($C$25*G25)+($D$25*H25)+($E$25*I25)</f>
        <v>100.80000000000003</v>
      </c>
      <c r="N25" s="25"/>
      <c r="O25" s="7"/>
      <c r="P25" s="7"/>
      <c r="Q25" s="7"/>
      <c r="R25" s="7"/>
      <c r="S25" s="7"/>
      <c r="T25" s="7"/>
    </row>
    <row r="26" spans="1:23" s="4" customFormat="1" x14ac:dyDescent="0.25">
      <c r="A26" s="22"/>
      <c r="B26" s="24"/>
      <c r="C26" s="24"/>
      <c r="D26" s="24"/>
      <c r="E26" s="24"/>
      <c r="F26" s="24"/>
      <c r="G26" s="16">
        <f t="shared" si="4"/>
        <v>-169.95651195383817</v>
      </c>
      <c r="H26" s="16">
        <f t="shared" si="5"/>
        <v>261.56099998322992</v>
      </c>
      <c r="I26" s="16">
        <f t="shared" si="6"/>
        <v>-166.57450985147062</v>
      </c>
      <c r="J26" s="24"/>
      <c r="K26" s="15">
        <f>($C$23*G26)+($D$23*H26)+($E$23*I26)</f>
        <v>223.8</v>
      </c>
      <c r="L26" s="15">
        <f>($C$24*G26)+($D$24*H26)+($E24*I26)</f>
        <v>205.59999999999997</v>
      </c>
      <c r="M26" s="15">
        <f>($C$25*G26)+($D$25*H26)+($E$25*I26)</f>
        <v>180.8</v>
      </c>
      <c r="N26" s="25"/>
      <c r="O26" s="7"/>
      <c r="P26" s="7"/>
      <c r="Q26" s="7"/>
      <c r="R26" s="7"/>
      <c r="S26" s="7"/>
      <c r="T26" s="7"/>
    </row>
    <row r="27" spans="1:23" s="11" customFormat="1" x14ac:dyDescent="0.25">
      <c r="A27" s="22"/>
      <c r="B27" s="24"/>
      <c r="C27" s="24"/>
      <c r="D27" s="24"/>
      <c r="E27" s="24"/>
      <c r="F27" s="24"/>
      <c r="G27" s="12"/>
      <c r="H27" s="12"/>
      <c r="I27" s="12"/>
      <c r="J27" s="24"/>
      <c r="K27" s="12"/>
      <c r="L27" s="12"/>
      <c r="M27" s="12"/>
      <c r="N27" s="25"/>
    </row>
    <row r="28" spans="1:23" x14ac:dyDescent="0.25">
      <c r="A28" s="22"/>
      <c r="B28" s="23"/>
      <c r="C28" s="23"/>
      <c r="D28" s="23"/>
      <c r="E28" s="23"/>
      <c r="F28" s="23"/>
      <c r="G28" s="23">
        <v>0</v>
      </c>
      <c r="H28" s="23"/>
      <c r="I28" s="23"/>
      <c r="J28" s="23"/>
      <c r="K28" s="23"/>
      <c r="L28" s="23"/>
      <c r="M28" s="23"/>
      <c r="N28" s="26"/>
    </row>
    <row r="29" spans="1:23" x14ac:dyDescent="0.25">
      <c r="A29" s="22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6"/>
    </row>
    <row r="30" spans="1:23" x14ac:dyDescent="0.25">
      <c r="A30" s="22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6"/>
    </row>
    <row r="31" spans="1:23" x14ac:dyDescent="0.25">
      <c r="A31" s="22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6"/>
    </row>
    <row r="32" spans="1:23" x14ac:dyDescent="0.25">
      <c r="A32" s="22"/>
      <c r="B32" s="23"/>
      <c r="C32" s="105" t="s">
        <v>24</v>
      </c>
      <c r="D32" s="105"/>
      <c r="E32" s="105"/>
      <c r="F32" s="23"/>
      <c r="G32" s="105" t="s">
        <v>25</v>
      </c>
      <c r="H32" s="105"/>
      <c r="I32" s="105"/>
      <c r="J32" s="23"/>
      <c r="K32" s="23"/>
      <c r="L32" s="23"/>
      <c r="M32" s="23"/>
      <c r="N32" s="26"/>
    </row>
    <row r="33" spans="1:33" x14ac:dyDescent="0.25">
      <c r="A33" s="22"/>
      <c r="B33" s="23"/>
      <c r="C33" s="20">
        <f t="array" ref="C33:E35">TRANSPOSE(C13:E15)</f>
        <v>-0.54604489204276685</v>
      </c>
      <c r="D33" s="20">
        <v>0.74492741158036579</v>
      </c>
      <c r="E33" s="20">
        <v>0.38329900515156512</v>
      </c>
      <c r="F33" s="23"/>
      <c r="G33" s="20">
        <f t="array" ref="G33:I35">MMULT(C13:E15,C33:E35)</f>
        <v>1</v>
      </c>
      <c r="H33" s="20">
        <v>-8.3266726846886741E-17</v>
      </c>
      <c r="I33" s="20">
        <v>-5.5511151231257827E-17</v>
      </c>
      <c r="J33" s="23"/>
      <c r="K33" s="23"/>
      <c r="L33" s="23"/>
      <c r="M33" s="23"/>
      <c r="N33" s="26"/>
    </row>
    <row r="34" spans="1:33" x14ac:dyDescent="0.25">
      <c r="A34" s="22"/>
      <c r="B34" s="23"/>
      <c r="C34" s="20">
        <v>0.41012926041976627</v>
      </c>
      <c r="D34" s="20">
        <v>0.63665297600805792</v>
      </c>
      <c r="E34" s="20">
        <v>-0.65304439197317876</v>
      </c>
      <c r="F34" s="23"/>
      <c r="G34" s="20">
        <v>-8.3266726846886741E-17</v>
      </c>
      <c r="H34" s="20">
        <v>1</v>
      </c>
      <c r="I34" s="20">
        <v>-2.7755575615628914E-17</v>
      </c>
      <c r="J34" s="23"/>
      <c r="K34" s="23"/>
      <c r="L34" s="23"/>
      <c r="M34" s="23"/>
      <c r="N34" s="26"/>
      <c r="R34" s="35"/>
    </row>
    <row r="35" spans="1:33" x14ac:dyDescent="0.25">
      <c r="A35" s="22"/>
      <c r="B35" s="23"/>
      <c r="C35" s="20">
        <v>-0.73049912089032565</v>
      </c>
      <c r="D35" s="20">
        <v>-0.19938941701168506</v>
      </c>
      <c r="E35" s="20">
        <v>-0.65315763393089243</v>
      </c>
      <c r="F35" s="23"/>
      <c r="G35" s="20">
        <v>-5.5511151231257827E-17</v>
      </c>
      <c r="H35" s="20">
        <v>-2.7755575615628914E-17</v>
      </c>
      <c r="I35" s="20">
        <v>1</v>
      </c>
      <c r="J35" s="23"/>
      <c r="K35" s="23"/>
      <c r="L35" s="23"/>
      <c r="M35" s="23"/>
      <c r="N35" s="26"/>
      <c r="P35" s="35"/>
      <c r="Q35" s="35"/>
      <c r="R35" s="35"/>
      <c r="S35" s="18"/>
      <c r="T35" s="18"/>
      <c r="U35" s="105" t="s">
        <v>27</v>
      </c>
      <c r="V35" s="105"/>
      <c r="W35" s="105"/>
      <c r="X35" s="18"/>
      <c r="Y35" s="18"/>
      <c r="Z35" s="105" t="s">
        <v>26</v>
      </c>
      <c r="AA35" s="105"/>
      <c r="AB35" s="105"/>
      <c r="AE35" s="105" t="s">
        <v>28</v>
      </c>
      <c r="AF35" s="105"/>
      <c r="AG35" s="105"/>
    </row>
    <row r="36" spans="1:33" ht="15.75" thickBot="1" x14ac:dyDescent="0.3">
      <c r="A36" s="29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1"/>
      <c r="P36" s="35"/>
      <c r="Q36" s="35"/>
      <c r="R36" s="35"/>
      <c r="S36" s="33"/>
      <c r="T36" s="33"/>
      <c r="U36" s="32">
        <v>-0.19020200000000001</v>
      </c>
      <c r="V36" s="32">
        <v>0.69673300000000005</v>
      </c>
      <c r="W36" s="32">
        <v>0.69165500000000002</v>
      </c>
      <c r="X36" s="33"/>
      <c r="Y36" s="33"/>
      <c r="Z36" s="32">
        <v>0.45171099999999997</v>
      </c>
      <c r="AA36" s="32">
        <v>-0.80075499999999999</v>
      </c>
      <c r="AB36" s="32">
        <v>0.39338000000000001</v>
      </c>
      <c r="AE36" s="32">
        <v>0.60336500000000004</v>
      </c>
      <c r="AF36" s="32">
        <v>0.446515</v>
      </c>
      <c r="AG36" s="32">
        <v>0.66073800000000005</v>
      </c>
    </row>
    <row r="37" spans="1:33" x14ac:dyDescent="0.25">
      <c r="P37" s="34"/>
      <c r="Q37" s="34"/>
      <c r="R37" s="34"/>
      <c r="S37" s="33"/>
      <c r="T37" s="33"/>
      <c r="U37" s="32">
        <v>-0.90742299999999998</v>
      </c>
      <c r="V37" s="32">
        <v>-0.39366299999999999</v>
      </c>
      <c r="W37" s="32">
        <v>0.14701600000000001</v>
      </c>
      <c r="X37" s="33"/>
      <c r="Y37" s="33"/>
      <c r="Z37" s="32">
        <v>0.70823800000000003</v>
      </c>
      <c r="AA37" s="32">
        <v>5.3709E-2</v>
      </c>
      <c r="AB37" s="32">
        <v>-0.703928</v>
      </c>
      <c r="AE37" s="32">
        <v>-0.66570300000000004</v>
      </c>
      <c r="AF37" s="32">
        <v>-0.174176</v>
      </c>
      <c r="AG37" s="32">
        <v>0.72560500000000006</v>
      </c>
    </row>
    <row r="38" spans="1:33" x14ac:dyDescent="0.25">
      <c r="P38" s="34"/>
      <c r="Q38" s="34"/>
      <c r="R38" s="34"/>
      <c r="S38" s="33"/>
      <c r="T38" s="33"/>
      <c r="U38" s="32">
        <v>0.37470999999999999</v>
      </c>
      <c r="V38" s="32">
        <v>-0.599661</v>
      </c>
      <c r="W38" s="32">
        <v>0.70710700000000004</v>
      </c>
      <c r="X38" s="33"/>
      <c r="Y38" s="33"/>
      <c r="Z38" s="32">
        <v>0.54254599999999997</v>
      </c>
      <c r="AA38" s="32">
        <v>0.59657899999999997</v>
      </c>
      <c r="AB38" s="32">
        <v>0.59138599999999997</v>
      </c>
      <c r="AE38" s="32">
        <v>0.43907800000000002</v>
      </c>
      <c r="AF38" s="32">
        <v>-0.87766</v>
      </c>
      <c r="AG38" s="32">
        <v>0.19215499999999999</v>
      </c>
    </row>
    <row r="39" spans="1:33" x14ac:dyDescent="0.25">
      <c r="T39" s="18"/>
      <c r="U39" s="18"/>
      <c r="V39" s="18"/>
      <c r="W39" s="18"/>
      <c r="X39" s="18"/>
      <c r="Y39" s="18"/>
      <c r="Z39" s="18"/>
      <c r="AA39" s="18"/>
      <c r="AB39" s="18"/>
    </row>
    <row r="40" spans="1:33" ht="15.75" thickBot="1" x14ac:dyDescent="0.3">
      <c r="T40" s="18"/>
      <c r="U40" s="18"/>
      <c r="V40" s="18"/>
      <c r="W40" s="18"/>
      <c r="X40" s="18"/>
      <c r="Y40" s="18"/>
      <c r="Z40" s="18"/>
      <c r="AA40" s="18"/>
      <c r="AB40" s="18"/>
    </row>
    <row r="41" spans="1:33" x14ac:dyDescent="0.25">
      <c r="T41" s="18"/>
      <c r="U41" s="36">
        <f t="array" ref="U41:W43">MMULT(Z41:AB43,U36:W38)</f>
        <v>-3.6249452243311969E-3</v>
      </c>
      <c r="V41" s="37">
        <v>0.49740642757211651</v>
      </c>
      <c r="W41" s="38">
        <v>0.86750992129316584</v>
      </c>
      <c r="X41" s="18"/>
      <c r="Y41" s="18"/>
      <c r="Z41" s="36">
        <f t="array" ref="Z41:AB43">MMULT(AE36:AG38,Z36:AB38)</f>
        <v>0.94726625703300005</v>
      </c>
      <c r="AA41" s="37">
        <v>-6.498325113800002E-2</v>
      </c>
      <c r="AB41" s="38">
        <v>0.31378851564800003</v>
      </c>
    </row>
    <row r="42" spans="1:33" x14ac:dyDescent="0.25">
      <c r="U42" s="39">
        <v>-0.75364436098582599</v>
      </c>
      <c r="V42" s="40">
        <v>-0.57155689174756819</v>
      </c>
      <c r="W42" s="41">
        <v>0.32456719087085417</v>
      </c>
      <c r="Z42" s="39">
        <v>-3.038933939099997E-2</v>
      </c>
      <c r="AA42" s="40">
        <v>0.95659089227600003</v>
      </c>
      <c r="AB42" s="41">
        <v>0.28984575571799998</v>
      </c>
    </row>
    <row r="43" spans="1:33" ht="15.75" thickBot="1" x14ac:dyDescent="0.3">
      <c r="U43" s="42">
        <v>0.6572728779424728</v>
      </c>
      <c r="V43" s="43">
        <v>-0.65261806929035171</v>
      </c>
      <c r="W43" s="44">
        <v>0.37693949384610254</v>
      </c>
      <c r="Z43" s="42">
        <v>-0.319002873992</v>
      </c>
      <c r="AA43" s="43">
        <v>-0.28409650708500001</v>
      </c>
      <c r="AB43" s="44">
        <v>0.90417172894999998</v>
      </c>
    </row>
    <row r="45" spans="1:33" x14ac:dyDescent="0.25"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33" x14ac:dyDescent="0.25"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33" x14ac:dyDescent="0.25"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33" x14ac:dyDescent="0.25">
      <c r="N48" s="47"/>
      <c r="O48" s="47"/>
      <c r="P48" s="47"/>
      <c r="Q48" s="23"/>
      <c r="R48" s="23"/>
      <c r="S48" s="34"/>
      <c r="T48" s="34"/>
      <c r="U48" s="53"/>
      <c r="V48" s="23"/>
      <c r="W48" s="23"/>
      <c r="X48" s="23"/>
      <c r="Y48" s="23"/>
      <c r="Z48" s="23"/>
    </row>
    <row r="53" spans="4:17" x14ac:dyDescent="0.25">
      <c r="D53" s="105" t="s">
        <v>27</v>
      </c>
      <c r="E53" s="105"/>
      <c r="F53" s="105"/>
      <c r="G53" s="18"/>
      <c r="H53" s="18"/>
      <c r="I53" s="105" t="s">
        <v>26</v>
      </c>
      <c r="J53" s="105"/>
      <c r="K53" s="105"/>
      <c r="L53" s="18"/>
      <c r="M53" s="18"/>
      <c r="N53" s="105" t="s">
        <v>28</v>
      </c>
      <c r="O53" s="105"/>
      <c r="P53" s="105"/>
    </row>
    <row r="54" spans="4:17" x14ac:dyDescent="0.25">
      <c r="D54" s="32">
        <v>-0.19020200000000001</v>
      </c>
      <c r="E54" s="32">
        <v>0.69673300000000005</v>
      </c>
      <c r="F54" s="32">
        <v>0.69165500000000002</v>
      </c>
      <c r="G54" s="51">
        <v>0</v>
      </c>
      <c r="H54" s="33"/>
      <c r="I54" s="32">
        <v>0.45171099999999997</v>
      </c>
      <c r="J54" s="32">
        <v>-0.80075499999999999</v>
      </c>
      <c r="K54" s="32">
        <v>0.39338000000000001</v>
      </c>
      <c r="L54" s="48">
        <v>0</v>
      </c>
      <c r="M54" s="18"/>
      <c r="N54" s="32">
        <v>0.60336500000000004</v>
      </c>
      <c r="O54" s="32">
        <v>0.446515</v>
      </c>
      <c r="P54" s="32">
        <v>0.66073800000000005</v>
      </c>
      <c r="Q54" s="48">
        <v>335.98722800000002</v>
      </c>
    </row>
    <row r="55" spans="4:17" x14ac:dyDescent="0.25">
      <c r="D55" s="32">
        <v>-0.90742299999999998</v>
      </c>
      <c r="E55" s="32">
        <v>-0.39366299999999999</v>
      </c>
      <c r="F55" s="32">
        <v>0.14701600000000001</v>
      </c>
      <c r="G55" s="51">
        <v>0</v>
      </c>
      <c r="H55" s="33"/>
      <c r="I55" s="32">
        <v>0.70823800000000003</v>
      </c>
      <c r="J55" s="32">
        <v>5.3709E-2</v>
      </c>
      <c r="K55" s="32">
        <v>-0.703928</v>
      </c>
      <c r="L55" s="48">
        <v>0</v>
      </c>
      <c r="M55" s="18"/>
      <c r="N55" s="32">
        <v>-0.66570300000000004</v>
      </c>
      <c r="O55" s="32">
        <v>-0.174176</v>
      </c>
      <c r="P55" s="32">
        <v>0.72560500000000006</v>
      </c>
      <c r="Q55" s="48">
        <v>-55.320321999999997</v>
      </c>
    </row>
    <row r="56" spans="4:17" x14ac:dyDescent="0.25">
      <c r="D56" s="32">
        <v>0.37470999999999999</v>
      </c>
      <c r="E56" s="32">
        <v>-0.599661</v>
      </c>
      <c r="F56" s="32">
        <v>0.70710700000000004</v>
      </c>
      <c r="G56" s="51">
        <v>0</v>
      </c>
      <c r="H56" s="33"/>
      <c r="I56" s="32">
        <v>0.54254599999999997</v>
      </c>
      <c r="J56" s="32">
        <v>0.59657899999999997</v>
      </c>
      <c r="K56" s="32">
        <v>0.59138599999999997</v>
      </c>
      <c r="L56" s="48">
        <v>0</v>
      </c>
      <c r="M56" s="18"/>
      <c r="N56" s="32">
        <v>0.43907800000000002</v>
      </c>
      <c r="O56" s="32">
        <v>-0.87766</v>
      </c>
      <c r="P56" s="32">
        <v>0.19215499999999999</v>
      </c>
      <c r="Q56" s="48">
        <v>-157.38467</v>
      </c>
    </row>
    <row r="57" spans="4:17" x14ac:dyDescent="0.25">
      <c r="D57" s="50">
        <v>0</v>
      </c>
      <c r="E57" s="50">
        <v>0</v>
      </c>
      <c r="F57" s="50">
        <v>0</v>
      </c>
      <c r="G57" s="50">
        <v>1</v>
      </c>
      <c r="I57" s="50">
        <v>0</v>
      </c>
      <c r="J57" s="50">
        <v>0</v>
      </c>
      <c r="K57" s="50">
        <v>0</v>
      </c>
      <c r="L57" s="49">
        <v>1</v>
      </c>
      <c r="N57" s="50">
        <v>0</v>
      </c>
      <c r="O57" s="50">
        <v>0</v>
      </c>
      <c r="P57" s="50">
        <v>0</v>
      </c>
      <c r="Q57" s="49">
        <v>1</v>
      </c>
    </row>
    <row r="60" spans="4:17" x14ac:dyDescent="0.25">
      <c r="D60" s="52">
        <v>1</v>
      </c>
      <c r="E60" s="52">
        <v>0</v>
      </c>
      <c r="F60" s="52">
        <v>0</v>
      </c>
      <c r="G60" s="52">
        <v>-72.599999999999994</v>
      </c>
      <c r="I60" s="52">
        <v>1</v>
      </c>
      <c r="J60" s="52">
        <v>0</v>
      </c>
      <c r="K60" s="52">
        <v>0</v>
      </c>
      <c r="L60" s="52">
        <v>245.525057</v>
      </c>
    </row>
    <row r="61" spans="4:17" x14ac:dyDescent="0.25">
      <c r="D61" s="52">
        <v>0</v>
      </c>
      <c r="E61" s="52">
        <v>1</v>
      </c>
      <c r="F61" s="52">
        <v>0</v>
      </c>
      <c r="G61" s="52">
        <v>-123.2</v>
      </c>
      <c r="I61" s="52">
        <v>0</v>
      </c>
      <c r="J61" s="52">
        <v>1</v>
      </c>
      <c r="K61" s="52">
        <v>0</v>
      </c>
      <c r="L61" s="52">
        <v>7.9299629999999999</v>
      </c>
    </row>
    <row r="62" spans="4:17" x14ac:dyDescent="0.25">
      <c r="D62" s="52">
        <v>0</v>
      </c>
      <c r="E62" s="52">
        <v>0</v>
      </c>
      <c r="F62" s="52">
        <v>1</v>
      </c>
      <c r="G62" s="52">
        <v>-41.5</v>
      </c>
      <c r="I62" s="52">
        <v>0</v>
      </c>
      <c r="J62" s="52">
        <v>0</v>
      </c>
      <c r="K62" s="52">
        <v>1</v>
      </c>
      <c r="L62" s="52">
        <v>-69.133002000000005</v>
      </c>
    </row>
    <row r="63" spans="4:17" x14ac:dyDescent="0.25">
      <c r="D63" s="52">
        <v>0</v>
      </c>
      <c r="E63" s="52">
        <v>0</v>
      </c>
      <c r="F63" s="52">
        <v>0</v>
      </c>
      <c r="G63" s="52">
        <v>1</v>
      </c>
      <c r="I63" s="52">
        <v>0</v>
      </c>
      <c r="J63" s="52">
        <v>0</v>
      </c>
      <c r="K63" s="52">
        <v>0</v>
      </c>
      <c r="L63" s="52">
        <v>1</v>
      </c>
    </row>
    <row r="64" spans="4:17" x14ac:dyDescent="0.25">
      <c r="I64" s="18"/>
      <c r="J64" s="18"/>
      <c r="K64" s="18"/>
      <c r="L64" s="18"/>
    </row>
    <row r="65" spans="4:27" x14ac:dyDescent="0.25">
      <c r="D65" s="132"/>
      <c r="E65" s="132"/>
      <c r="F65" s="132"/>
      <c r="G65" s="132"/>
    </row>
    <row r="66" spans="4:27" x14ac:dyDescent="0.25">
      <c r="D66">
        <f t="array" ref="D66:G69">TRANSPOSE(D54:G57)</f>
        <v>-0.19020200000000001</v>
      </c>
      <c r="E66">
        <v>-0.90742299999999998</v>
      </c>
      <c r="F66">
        <v>0.37470999999999999</v>
      </c>
      <c r="G66">
        <v>0</v>
      </c>
      <c r="I66">
        <f t="array" ref="I66:L69">MMULT(D66:G69,I60:L63)</f>
        <v>-0.19020200000000001</v>
      </c>
      <c r="J66">
        <v>-0.90742299999999998</v>
      </c>
      <c r="K66">
        <v>0.37470999999999999</v>
      </c>
      <c r="L66">
        <v>-79.800014886282995</v>
      </c>
      <c r="N66">
        <f t="array" ref="N66:Q69">MMULT(D60:G63,I66:L69)</f>
        <v>-0.19020200000000001</v>
      </c>
      <c r="O66">
        <v>-0.90742299999999998</v>
      </c>
      <c r="P66">
        <v>0.37470999999999999</v>
      </c>
      <c r="Q66">
        <v>-152.40001488628297</v>
      </c>
      <c r="S66">
        <f t="array" ref="S66:V69">MMULT(N66:Q69,N76:Q79)</f>
        <v>0.78811058854299998</v>
      </c>
      <c r="T66">
        <v>-0.44721392686300004</v>
      </c>
      <c r="U66">
        <v>-0.42294459214899993</v>
      </c>
      <c r="V66">
        <v>-152.40001488628297</v>
      </c>
      <c r="X66" s="79">
        <f t="array" ref="X66:Z68">TRANSPOSE(S66:U68)</f>
        <v>0.78811058854299998</v>
      </c>
      <c r="Y66" s="79">
        <v>0.39405493154800003</v>
      </c>
      <c r="Z66" s="79">
        <v>0.47286612628499997</v>
      </c>
      <c r="AA66" s="79">
        <f>V66</f>
        <v>-152.40001488628297</v>
      </c>
    </row>
    <row r="67" spans="4:27" x14ac:dyDescent="0.25">
      <c r="D67">
        <v>0.69673300000000005</v>
      </c>
      <c r="E67">
        <v>-0.39366299999999999</v>
      </c>
      <c r="F67">
        <v>-0.599661</v>
      </c>
      <c r="G67">
        <v>0</v>
      </c>
      <c r="I67">
        <v>0.69673300000000005</v>
      </c>
      <c r="J67">
        <v>-0.39366299999999999</v>
      </c>
      <c r="K67">
        <v>-0.599661</v>
      </c>
      <c r="L67">
        <v>209.40004162663402</v>
      </c>
      <c r="N67">
        <v>0.69673300000000005</v>
      </c>
      <c r="O67">
        <v>-0.39366299999999999</v>
      </c>
      <c r="P67">
        <v>-0.599661</v>
      </c>
      <c r="Q67">
        <v>86.200041626634018</v>
      </c>
      <c r="S67">
        <v>0.39405493154800003</v>
      </c>
      <c r="T67">
        <v>0.894427708795</v>
      </c>
      <c r="U67">
        <v>-0.21147249680499994</v>
      </c>
      <c r="V67">
        <v>86.200041626634018</v>
      </c>
      <c r="X67" s="79">
        <v>-0.44721392686300004</v>
      </c>
      <c r="Y67" s="79">
        <v>0.894427708795</v>
      </c>
      <c r="Z67" s="79">
        <v>1.9938000028751901E-8</v>
      </c>
      <c r="AA67" s="79">
        <f t="shared" ref="AA67:AA69" si="7">V67</f>
        <v>86.200041626634018</v>
      </c>
    </row>
    <row r="68" spans="4:27" x14ac:dyDescent="0.25">
      <c r="D68">
        <v>0.69165500000000002</v>
      </c>
      <c r="E68">
        <v>0.14701600000000001</v>
      </c>
      <c r="F68">
        <v>0.70710700000000004</v>
      </c>
      <c r="G68">
        <v>0</v>
      </c>
      <c r="I68">
        <v>0.69165500000000002</v>
      </c>
      <c r="J68">
        <v>0.14701600000000001</v>
      </c>
      <c r="K68">
        <v>0.70710700000000004</v>
      </c>
      <c r="L68">
        <v>122.10003509452901</v>
      </c>
      <c r="N68">
        <v>0.69165500000000002</v>
      </c>
      <c r="O68">
        <v>0.14701600000000001</v>
      </c>
      <c r="P68">
        <v>0.70710700000000004</v>
      </c>
      <c r="Q68">
        <v>80.600035094529005</v>
      </c>
      <c r="S68">
        <v>0.47286612628499997</v>
      </c>
      <c r="T68">
        <v>1.9938000028751901E-8</v>
      </c>
      <c r="U68">
        <v>0.88113449219600004</v>
      </c>
      <c r="V68">
        <v>80.600035094529005</v>
      </c>
      <c r="X68" s="79">
        <v>-0.42294459214899993</v>
      </c>
      <c r="Y68" s="79">
        <v>-0.21147249680499994</v>
      </c>
      <c r="Z68" s="79">
        <v>0.88113449219600004</v>
      </c>
      <c r="AA68" s="79">
        <f t="shared" si="7"/>
        <v>80.600035094529005</v>
      </c>
    </row>
    <row r="69" spans="4:27" x14ac:dyDescent="0.25">
      <c r="D69">
        <v>0</v>
      </c>
      <c r="E69">
        <v>0</v>
      </c>
      <c r="F69">
        <v>0</v>
      </c>
      <c r="G69">
        <v>1</v>
      </c>
      <c r="I69">
        <v>0</v>
      </c>
      <c r="J69">
        <v>0</v>
      </c>
      <c r="K69">
        <v>0</v>
      </c>
      <c r="L69">
        <v>1</v>
      </c>
      <c r="N69">
        <v>0</v>
      </c>
      <c r="O69">
        <v>0</v>
      </c>
      <c r="P69">
        <v>0</v>
      </c>
      <c r="Q69">
        <v>1</v>
      </c>
      <c r="S69">
        <v>0</v>
      </c>
      <c r="T69">
        <v>0</v>
      </c>
      <c r="U69">
        <v>0</v>
      </c>
      <c r="V69">
        <v>1</v>
      </c>
      <c r="X69" s="79">
        <v>0</v>
      </c>
      <c r="Y69" s="79">
        <v>0</v>
      </c>
      <c r="Z69" s="79">
        <v>0</v>
      </c>
      <c r="AA69" s="79">
        <f t="shared" si="7"/>
        <v>1</v>
      </c>
    </row>
    <row r="71" spans="4:27" x14ac:dyDescent="0.25">
      <c r="E71" s="18"/>
      <c r="F71" s="18"/>
      <c r="G71" s="18"/>
      <c r="N71">
        <f t="array" ref="N71:Q74">MMULT(I54:L57,D54:G57)</f>
        <v>0.78811058854299998</v>
      </c>
      <c r="O71">
        <v>0.39405493154800003</v>
      </c>
      <c r="P71">
        <v>0.47286612628499997</v>
      </c>
      <c r="Q71">
        <v>0</v>
      </c>
      <c r="S71">
        <f t="array" ref="S71:V74">MMULT(D60:G63,N71:Q74)</f>
        <v>0.78811058854299998</v>
      </c>
      <c r="T71">
        <v>0.39405493154800003</v>
      </c>
      <c r="U71">
        <v>0.47286612628499997</v>
      </c>
      <c r="V71">
        <v>-72.599999999999994</v>
      </c>
      <c r="X71">
        <f t="array" ref="X71:AA74">MMULT(I60:L63,S71:V74)</f>
        <v>0.78811058854299998</v>
      </c>
      <c r="Y71">
        <v>0.39405493154800003</v>
      </c>
      <c r="Z71">
        <v>0.47286612628499997</v>
      </c>
      <c r="AA71">
        <v>172.92505700000001</v>
      </c>
    </row>
    <row r="72" spans="4:27" x14ac:dyDescent="0.25">
      <c r="D72" s="18"/>
      <c r="E72" s="18"/>
      <c r="F72" s="18"/>
      <c r="G72" s="18"/>
      <c r="N72" s="18">
        <v>-0.44721392686300004</v>
      </c>
      <c r="O72">
        <v>0.894427708795</v>
      </c>
      <c r="P72">
        <v>1.9938000028751901E-8</v>
      </c>
      <c r="Q72">
        <v>0</v>
      </c>
      <c r="S72">
        <v>-0.44721392686300004</v>
      </c>
      <c r="T72">
        <v>0.894427708795</v>
      </c>
      <c r="U72">
        <v>1.9938000028751901E-8</v>
      </c>
      <c r="V72">
        <v>-123.2</v>
      </c>
      <c r="X72">
        <v>-0.44721392686300004</v>
      </c>
      <c r="Y72">
        <v>0.894427708795</v>
      </c>
      <c r="Z72">
        <v>1.9938000028751901E-8</v>
      </c>
      <c r="AA72">
        <v>-115.270037</v>
      </c>
    </row>
    <row r="73" spans="4:27" x14ac:dyDescent="0.25">
      <c r="D73" s="18"/>
      <c r="E73" s="18"/>
      <c r="F73" s="18"/>
      <c r="G73" s="18"/>
      <c r="N73" s="18">
        <v>-0.42294459214899993</v>
      </c>
      <c r="O73">
        <v>-0.21147249680499994</v>
      </c>
      <c r="P73">
        <v>0.88113449219600004</v>
      </c>
      <c r="Q73">
        <v>0</v>
      </c>
      <c r="S73">
        <v>-0.42294459214899993</v>
      </c>
      <c r="T73">
        <v>-0.21147249680499994</v>
      </c>
      <c r="U73">
        <v>0.88113449219600004</v>
      </c>
      <c r="V73">
        <v>-41.5</v>
      </c>
      <c r="X73">
        <v>-0.42294459214899993</v>
      </c>
      <c r="Y73">
        <v>-0.21147249680499994</v>
      </c>
      <c r="Z73">
        <v>0.88113449219600004</v>
      </c>
      <c r="AA73">
        <v>-110.633002</v>
      </c>
    </row>
    <row r="74" spans="4:27" x14ac:dyDescent="0.25">
      <c r="D74" s="18"/>
      <c r="E74" s="18"/>
      <c r="F74" s="18"/>
      <c r="G74" s="18"/>
      <c r="N74" s="18">
        <v>0</v>
      </c>
      <c r="O74">
        <v>0</v>
      </c>
      <c r="P74">
        <v>0</v>
      </c>
      <c r="Q74">
        <v>1</v>
      </c>
      <c r="S74">
        <v>0</v>
      </c>
      <c r="T74">
        <v>0</v>
      </c>
      <c r="U74">
        <v>0</v>
      </c>
      <c r="V74">
        <v>1</v>
      </c>
      <c r="X74">
        <v>0</v>
      </c>
      <c r="Y74">
        <v>0</v>
      </c>
      <c r="Z74">
        <v>0</v>
      </c>
      <c r="AA74">
        <v>1</v>
      </c>
    </row>
    <row r="76" spans="4:27" x14ac:dyDescent="0.25">
      <c r="N76">
        <f t="array" ref="N76:Q79">TRANSPOSE(I54:L57)</f>
        <v>0.45171099999999997</v>
      </c>
      <c r="O76">
        <v>0.70823800000000003</v>
      </c>
      <c r="P76">
        <v>0.54254599999999997</v>
      </c>
      <c r="Q76">
        <v>0</v>
      </c>
      <c r="S76">
        <f t="array" ref="S76:V79">TRANSPOSE(N66:Q69)</f>
        <v>-0.19020200000000001</v>
      </c>
      <c r="T76">
        <v>0.69673300000000005</v>
      </c>
      <c r="U76">
        <v>0.69165500000000002</v>
      </c>
      <c r="V76">
        <v>0</v>
      </c>
    </row>
    <row r="77" spans="4:27" x14ac:dyDescent="0.25">
      <c r="N77">
        <v>-0.80075499999999999</v>
      </c>
      <c r="O77">
        <v>5.3709E-2</v>
      </c>
      <c r="P77">
        <v>0.59657899999999997</v>
      </c>
      <c r="Q77">
        <v>0</v>
      </c>
      <c r="S77">
        <v>-0.90742299999999998</v>
      </c>
      <c r="T77">
        <v>-0.39366299999999999</v>
      </c>
      <c r="U77">
        <v>0.14701600000000001</v>
      </c>
      <c r="V77">
        <v>0</v>
      </c>
    </row>
    <row r="78" spans="4:27" x14ac:dyDescent="0.25">
      <c r="N78">
        <v>0.39338000000000001</v>
      </c>
      <c r="O78">
        <v>-0.703928</v>
      </c>
      <c r="P78">
        <v>0.59138599999999997</v>
      </c>
      <c r="Q78">
        <v>0</v>
      </c>
      <c r="S78">
        <v>0.37470999999999999</v>
      </c>
      <c r="T78">
        <v>-0.599661</v>
      </c>
      <c r="U78">
        <v>0.70710700000000004</v>
      </c>
      <c r="V78">
        <v>0</v>
      </c>
    </row>
    <row r="79" spans="4:27" x14ac:dyDescent="0.25">
      <c r="N79">
        <v>0</v>
      </c>
      <c r="O79">
        <v>0</v>
      </c>
      <c r="P79">
        <v>0</v>
      </c>
      <c r="Q79">
        <v>1</v>
      </c>
      <c r="S79">
        <v>-152.40001488628297</v>
      </c>
      <c r="T79">
        <v>86.200041626634018</v>
      </c>
      <c r="U79">
        <v>80.600035094529005</v>
      </c>
      <c r="V79">
        <v>1</v>
      </c>
    </row>
  </sheetData>
  <mergeCells count="27">
    <mergeCell ref="D53:F53"/>
    <mergeCell ref="I53:K53"/>
    <mergeCell ref="N53:P53"/>
    <mergeCell ref="D65:G65"/>
    <mergeCell ref="O21:Q21"/>
    <mergeCell ref="G19:M19"/>
    <mergeCell ref="C22:E22"/>
    <mergeCell ref="C32:E32"/>
    <mergeCell ref="B6:N6"/>
    <mergeCell ref="G9:M9"/>
    <mergeCell ref="B9:E9"/>
    <mergeCell ref="G11:I11"/>
    <mergeCell ref="G21:I21"/>
    <mergeCell ref="K21:M21"/>
    <mergeCell ref="B11:E11"/>
    <mergeCell ref="K11:M11"/>
    <mergeCell ref="G32:I32"/>
    <mergeCell ref="B1:N1"/>
    <mergeCell ref="B2:N2"/>
    <mergeCell ref="B3:N3"/>
    <mergeCell ref="B4:N4"/>
    <mergeCell ref="B5:N5"/>
    <mergeCell ref="AE35:AG35"/>
    <mergeCell ref="U35:W35"/>
    <mergeCell ref="Z35:AB35"/>
    <mergeCell ref="U13:W13"/>
    <mergeCell ref="Z13:AB13"/>
  </mergeCells>
  <hyperlinks>
    <hyperlink ref="B6" r:id="rId1"/>
  </hyperlinks>
  <pageMargins left="0.7" right="0.7" top="0.75" bottom="0.75" header="0.3" footer="0.3"/>
  <pageSetup orientation="portrait" r:id="rId2"/>
  <drawing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3"/>
  <dimension ref="A1:AG84"/>
  <sheetViews>
    <sheetView topLeftCell="A46" zoomScaleNormal="100" workbookViewId="0">
      <selection activeCell="L75" sqref="L75"/>
    </sheetView>
  </sheetViews>
  <sheetFormatPr defaultRowHeight="15" x14ac:dyDescent="0.25"/>
  <cols>
    <col min="1" max="1" width="9.140625" style="18"/>
    <col min="2" max="2" width="9.85546875" style="18" bestFit="1" customWidth="1"/>
    <col min="3" max="3" width="9.7109375" style="18" bestFit="1" customWidth="1"/>
    <col min="4" max="4" width="10" style="18" bestFit="1" customWidth="1"/>
    <col min="5" max="5" width="9.7109375" style="18" bestFit="1" customWidth="1"/>
    <col min="6" max="8" width="9.140625" style="18"/>
    <col min="9" max="9" width="9.85546875" style="18" bestFit="1" customWidth="1"/>
    <col min="10" max="10" width="9.140625" style="18"/>
    <col min="11" max="11" width="9.140625" style="18" customWidth="1"/>
    <col min="12" max="13" width="9.140625" style="18"/>
    <col min="14" max="15" width="9.85546875" style="18" bestFit="1" customWidth="1"/>
    <col min="16" max="17" width="9.140625" style="18"/>
    <col min="18" max="19" width="9.85546875" style="18" bestFit="1" customWidth="1"/>
    <col min="20" max="16384" width="9.140625" style="18"/>
  </cols>
  <sheetData>
    <row r="1" spans="1:28" x14ac:dyDescent="0.25">
      <c r="A1" s="21"/>
      <c r="B1" s="127" t="s">
        <v>6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9"/>
      <c r="O1" s="2"/>
    </row>
    <row r="2" spans="1:28" x14ac:dyDescent="0.25">
      <c r="A2" s="22"/>
      <c r="B2" s="128" t="s">
        <v>20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30"/>
      <c r="O2" s="3"/>
    </row>
    <row r="3" spans="1:28" x14ac:dyDescent="0.25">
      <c r="A3" s="22"/>
      <c r="B3" s="126" t="s">
        <v>7</v>
      </c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31"/>
      <c r="O3" s="2"/>
    </row>
    <row r="4" spans="1:28" x14ac:dyDescent="0.25">
      <c r="A4" s="22"/>
      <c r="B4" s="126" t="s">
        <v>11</v>
      </c>
      <c r="C4" s="126"/>
      <c r="D4" s="126"/>
      <c r="E4" s="126"/>
      <c r="F4" s="126"/>
      <c r="G4" s="126"/>
      <c r="H4" s="126"/>
      <c r="I4" s="126"/>
      <c r="J4" s="126"/>
      <c r="K4" s="126"/>
      <c r="L4" s="126"/>
      <c r="M4" s="126"/>
      <c r="N4" s="131"/>
    </row>
    <row r="5" spans="1:28" x14ac:dyDescent="0.25">
      <c r="A5" s="22"/>
      <c r="B5" s="126" t="s">
        <v>19</v>
      </c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31"/>
    </row>
    <row r="6" spans="1:28" x14ac:dyDescent="0.25">
      <c r="A6" s="22"/>
      <c r="B6" s="125" t="s">
        <v>18</v>
      </c>
      <c r="C6" s="126"/>
      <c r="D6" s="126"/>
      <c r="E6" s="126"/>
      <c r="F6" s="126"/>
      <c r="G6" s="126"/>
      <c r="H6" s="126"/>
      <c r="I6" s="126"/>
      <c r="J6" s="126"/>
      <c r="K6" s="126"/>
      <c r="L6" s="126"/>
      <c r="M6" s="126"/>
      <c r="N6" s="131"/>
    </row>
    <row r="7" spans="1:28" ht="15.75" thickBot="1" x14ac:dyDescent="0.3">
      <c r="A7" s="22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3"/>
    </row>
    <row r="8" spans="1:28" ht="15.75" thickBot="1" x14ac:dyDescent="0.3">
      <c r="A8" s="22"/>
      <c r="B8" s="14" t="s">
        <v>21</v>
      </c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3"/>
    </row>
    <row r="9" spans="1:28" ht="15.75" thickBot="1" x14ac:dyDescent="0.3">
      <c r="A9" s="22"/>
      <c r="B9" s="121" t="s">
        <v>14</v>
      </c>
      <c r="C9" s="122"/>
      <c r="D9" s="122"/>
      <c r="E9" s="123"/>
      <c r="F9" s="62"/>
      <c r="G9" s="121" t="s">
        <v>12</v>
      </c>
      <c r="H9" s="122"/>
      <c r="I9" s="122"/>
      <c r="J9" s="122"/>
      <c r="K9" s="122"/>
      <c r="L9" s="122"/>
      <c r="M9" s="123"/>
      <c r="N9" s="63"/>
    </row>
    <row r="10" spans="1:28" x14ac:dyDescent="0.25">
      <c r="A10" s="22"/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3"/>
    </row>
    <row r="11" spans="1:28" x14ac:dyDescent="0.25">
      <c r="A11" s="22"/>
      <c r="B11" s="124" t="s">
        <v>22</v>
      </c>
      <c r="C11" s="124"/>
      <c r="D11" s="124"/>
      <c r="E11" s="124"/>
      <c r="F11" s="62"/>
      <c r="G11" s="115" t="s">
        <v>15</v>
      </c>
      <c r="H11" s="116"/>
      <c r="I11" s="117"/>
      <c r="J11" s="62"/>
      <c r="K11" s="115" t="s">
        <v>16</v>
      </c>
      <c r="L11" s="116"/>
      <c r="M11" s="117"/>
      <c r="N11" s="61"/>
    </row>
    <row r="12" spans="1:28" x14ac:dyDescent="0.25">
      <c r="A12" s="27"/>
      <c r="B12" s="9"/>
      <c r="C12" s="10" t="s">
        <v>0</v>
      </c>
      <c r="D12" s="10" t="s">
        <v>1</v>
      </c>
      <c r="E12" s="10" t="s">
        <v>4</v>
      </c>
      <c r="F12" s="62"/>
      <c r="G12" s="8" t="s">
        <v>0</v>
      </c>
      <c r="H12" s="8" t="s">
        <v>1</v>
      </c>
      <c r="I12" s="8" t="s">
        <v>4</v>
      </c>
      <c r="J12" s="62"/>
      <c r="K12" s="8" t="s">
        <v>2</v>
      </c>
      <c r="L12" s="8" t="s">
        <v>3</v>
      </c>
      <c r="M12" s="8" t="s">
        <v>5</v>
      </c>
      <c r="N12" s="61"/>
    </row>
    <row r="13" spans="1:28" x14ac:dyDescent="0.25">
      <c r="A13" s="22"/>
      <c r="B13" s="1" t="s">
        <v>8</v>
      </c>
      <c r="C13" s="6">
        <v>-0.54604489204276685</v>
      </c>
      <c r="D13" s="6">
        <v>0.41012926041976627</v>
      </c>
      <c r="E13" s="6">
        <v>-0.73049912089032565</v>
      </c>
      <c r="F13" s="62"/>
      <c r="G13" s="15">
        <v>-72.599999999999994</v>
      </c>
      <c r="H13" s="15">
        <v>-123.2</v>
      </c>
      <c r="I13" s="15">
        <v>-41.5</v>
      </c>
      <c r="J13" s="60"/>
      <c r="K13" s="16">
        <f>($C$13*G13)+($D$13*H13)+($E$13*I13)</f>
        <v>19.430647795538178</v>
      </c>
      <c r="L13" s="16">
        <f>($C$14*G13)+($D$14*H13)+($E$14*I13)</f>
        <v>-124.24271591894237</v>
      </c>
      <c r="M13" s="16">
        <f>($C$15*G13)+($D$15*H13)+($E$15*I13)</f>
        <v>79.733603125224036</v>
      </c>
      <c r="N13" s="61"/>
      <c r="P13" s="34"/>
      <c r="Q13" s="34"/>
      <c r="R13" s="34"/>
      <c r="U13" s="105" t="s">
        <v>27</v>
      </c>
      <c r="V13" s="105"/>
      <c r="W13" s="105"/>
      <c r="Z13" s="105" t="s">
        <v>26</v>
      </c>
      <c r="AA13" s="105"/>
      <c r="AB13" s="105"/>
    </row>
    <row r="14" spans="1:28" x14ac:dyDescent="0.25">
      <c r="A14" s="22"/>
      <c r="B14" s="1" t="s">
        <v>9</v>
      </c>
      <c r="C14" s="6">
        <v>0.74492741158036579</v>
      </c>
      <c r="D14" s="6">
        <v>0.63665297600805792</v>
      </c>
      <c r="E14" s="6">
        <v>-0.19938941701168506</v>
      </c>
      <c r="F14" s="62"/>
      <c r="G14" s="15">
        <v>-152.4</v>
      </c>
      <c r="H14" s="15">
        <v>86.199999999999989</v>
      </c>
      <c r="I14" s="15">
        <v>80.599999999999994</v>
      </c>
      <c r="J14" s="60"/>
      <c r="K14" s="16">
        <f>($C$13*G14)+($D$13*H14)+($E$13*I14)</f>
        <v>59.692154651741284</v>
      </c>
      <c r="L14" s="16">
        <f t="shared" ref="L14:L16" si="0">($C$14*G14)+($D$14*H14)+($E$14*I14)</f>
        <v>-74.718238004094985</v>
      </c>
      <c r="M14" s="16">
        <f t="shared" ref="M14:M16" si="1">($C$15*G14)+($D$15*H14)+($E$15*I14)</f>
        <v>-167.35170026801643</v>
      </c>
      <c r="N14" s="61"/>
      <c r="P14" s="34"/>
      <c r="Q14" s="34"/>
      <c r="R14" s="34"/>
      <c r="S14" s="33"/>
      <c r="T14" s="33"/>
      <c r="U14" s="32">
        <v>-0.19020200000000001</v>
      </c>
      <c r="V14" s="32">
        <v>0.69673300000000005</v>
      </c>
      <c r="W14" s="32">
        <v>0.69165500000000002</v>
      </c>
      <c r="X14" s="33"/>
      <c r="Y14" s="33"/>
      <c r="Z14" s="32">
        <v>0.45171099999999997</v>
      </c>
      <c r="AA14" s="32">
        <v>-0.80075499999999999</v>
      </c>
      <c r="AB14" s="32">
        <v>0.39338000000000001</v>
      </c>
    </row>
    <row r="15" spans="1:28" x14ac:dyDescent="0.25">
      <c r="A15" s="22"/>
      <c r="B15" s="1" t="s">
        <v>10</v>
      </c>
      <c r="C15" s="6">
        <v>0.38329900515156512</v>
      </c>
      <c r="D15" s="6">
        <v>-0.65304439197317876</v>
      </c>
      <c r="E15" s="6">
        <v>-0.65315763393089243</v>
      </c>
      <c r="F15" s="62"/>
      <c r="G15" s="15">
        <v>203.7</v>
      </c>
      <c r="H15" s="15">
        <v>202.4</v>
      </c>
      <c r="I15" s="15">
        <v>100.8</v>
      </c>
      <c r="J15" s="60"/>
      <c r="K15" s="16">
        <f t="shared" ref="K15:K16" si="2">($C$13*G15)+($D$13*H15)+($E$13*I15)</f>
        <v>-101.85349358589572</v>
      </c>
      <c r="L15" s="16">
        <f t="shared" si="0"/>
        <v>260.50182284817356</v>
      </c>
      <c r="M15" s="16">
        <f t="shared" si="1"/>
        <v>-119.93646708623154</v>
      </c>
      <c r="N15" s="61"/>
      <c r="P15" s="34"/>
      <c r="Q15" s="34"/>
      <c r="R15" s="34"/>
      <c r="S15" s="33"/>
      <c r="T15" s="33"/>
      <c r="U15" s="32">
        <v>-0.90742299999999998</v>
      </c>
      <c r="V15" s="32">
        <v>-0.39366299999999999</v>
      </c>
      <c r="W15" s="32">
        <v>0.14701600000000001</v>
      </c>
      <c r="X15" s="33"/>
      <c r="Y15" s="33"/>
      <c r="Z15" s="32">
        <v>0.70823800000000003</v>
      </c>
      <c r="AA15" s="32">
        <v>5.3709E-2</v>
      </c>
      <c r="AB15" s="32">
        <v>-0.703928</v>
      </c>
    </row>
    <row r="16" spans="1:28" x14ac:dyDescent="0.25">
      <c r="A16" s="22"/>
      <c r="B16" s="62"/>
      <c r="C16" s="62"/>
      <c r="D16" s="62"/>
      <c r="E16" s="62"/>
      <c r="F16" s="62"/>
      <c r="G16" s="15">
        <v>223.8</v>
      </c>
      <c r="H16" s="15">
        <v>205.6</v>
      </c>
      <c r="I16" s="15">
        <v>180.8</v>
      </c>
      <c r="J16" s="62"/>
      <c r="K16" s="16">
        <f t="shared" si="2"/>
        <v>-169.95651195383817</v>
      </c>
      <c r="L16" s="16">
        <f t="shared" si="0"/>
        <v>261.56099998322992</v>
      </c>
      <c r="M16" s="16">
        <f t="shared" si="1"/>
        <v>-166.57450985147062</v>
      </c>
      <c r="N16" s="61"/>
      <c r="P16" s="34"/>
      <c r="Q16" s="34"/>
      <c r="R16" s="34"/>
      <c r="S16" s="33"/>
      <c r="T16" s="33"/>
      <c r="U16" s="32">
        <v>0.37470999999999999</v>
      </c>
      <c r="V16" s="32">
        <v>-0.599661</v>
      </c>
      <c r="W16" s="32">
        <v>0.70710700000000004</v>
      </c>
      <c r="X16" s="33"/>
      <c r="Y16" s="33"/>
      <c r="Z16" s="32">
        <v>0.54254599999999997</v>
      </c>
      <c r="AA16" s="32">
        <v>0.59657899999999997</v>
      </c>
      <c r="AB16" s="32">
        <v>0.59138599999999997</v>
      </c>
    </row>
    <row r="17" spans="1:23" x14ac:dyDescent="0.25">
      <c r="A17" s="22"/>
      <c r="B17" s="62"/>
      <c r="C17" s="62"/>
      <c r="D17" s="62"/>
      <c r="E17" s="62"/>
      <c r="F17" s="62"/>
      <c r="G17" s="62"/>
      <c r="H17" s="60"/>
      <c r="I17" s="60"/>
      <c r="J17" s="60"/>
      <c r="K17" s="60"/>
      <c r="L17" s="60"/>
      <c r="M17" s="60"/>
      <c r="N17" s="61"/>
    </row>
    <row r="18" spans="1:23" ht="15.75" thickBot="1" x14ac:dyDescent="0.3">
      <c r="A18" s="22"/>
      <c r="B18" s="62"/>
      <c r="C18" s="62"/>
      <c r="D18" s="62"/>
      <c r="E18" s="62"/>
      <c r="F18" s="62"/>
      <c r="G18" s="62"/>
      <c r="H18" s="60"/>
      <c r="I18" s="60"/>
      <c r="J18" s="60"/>
      <c r="K18" s="60"/>
      <c r="L18" s="60"/>
      <c r="M18" s="60"/>
      <c r="N18" s="61"/>
    </row>
    <row r="19" spans="1:23" ht="15.75" thickBot="1" x14ac:dyDescent="0.3">
      <c r="A19" s="22"/>
      <c r="B19" s="60"/>
      <c r="C19" s="60"/>
      <c r="D19" s="60"/>
      <c r="E19" s="60"/>
      <c r="F19" s="60"/>
      <c r="G19" s="112" t="s">
        <v>13</v>
      </c>
      <c r="H19" s="113"/>
      <c r="I19" s="113"/>
      <c r="J19" s="113"/>
      <c r="K19" s="113"/>
      <c r="L19" s="113"/>
      <c r="M19" s="114"/>
      <c r="N19" s="28"/>
      <c r="U19" s="36">
        <f t="array" ref="U19:W21">MMULT(Z14:AB16,U14:W16)</f>
        <v>0.78811058854299998</v>
      </c>
      <c r="V19" s="37">
        <v>0.39405493154800003</v>
      </c>
      <c r="W19" s="38">
        <v>0.47286612628499997</v>
      </c>
    </row>
    <row r="20" spans="1:23" x14ac:dyDescent="0.25">
      <c r="A20" s="22"/>
      <c r="B20" s="62"/>
      <c r="C20" s="62"/>
      <c r="D20" s="62"/>
      <c r="E20" s="62"/>
      <c r="F20" s="62"/>
      <c r="G20" s="62"/>
      <c r="H20" s="60"/>
      <c r="I20" s="60"/>
      <c r="J20" s="60"/>
      <c r="K20" s="60"/>
      <c r="L20" s="60"/>
      <c r="M20" s="60"/>
      <c r="N20" s="61"/>
      <c r="U20" s="39">
        <v>-0.44721392686300004</v>
      </c>
      <c r="V20" s="40">
        <v>0.894427708795</v>
      </c>
      <c r="W20" s="41">
        <v>1.9938000028751901E-8</v>
      </c>
    </row>
    <row r="21" spans="1:23" ht="15.75" thickBot="1" x14ac:dyDescent="0.3">
      <c r="A21" s="22"/>
      <c r="B21" s="60"/>
      <c r="C21" s="60"/>
      <c r="D21" s="60"/>
      <c r="E21" s="60"/>
      <c r="F21" s="62"/>
      <c r="G21" s="115" t="s">
        <v>17</v>
      </c>
      <c r="H21" s="116"/>
      <c r="I21" s="117"/>
      <c r="J21" s="62"/>
      <c r="K21" s="115" t="s">
        <v>16</v>
      </c>
      <c r="L21" s="116"/>
      <c r="M21" s="117"/>
      <c r="N21" s="63"/>
      <c r="O21" s="132"/>
      <c r="P21" s="132"/>
      <c r="Q21" s="132"/>
      <c r="U21" s="42">
        <v>-0.42294459214899993</v>
      </c>
      <c r="V21" s="43">
        <v>-0.21147249680499994</v>
      </c>
      <c r="W21" s="44">
        <v>0.88113449219600004</v>
      </c>
    </row>
    <row r="22" spans="1:23" x14ac:dyDescent="0.25">
      <c r="A22" s="22"/>
      <c r="B22" s="17"/>
      <c r="C22" s="120" t="s">
        <v>23</v>
      </c>
      <c r="D22" s="120"/>
      <c r="E22" s="120"/>
      <c r="F22" s="62"/>
      <c r="G22" s="8" t="s">
        <v>0</v>
      </c>
      <c r="H22" s="8" t="s">
        <v>1</v>
      </c>
      <c r="I22" s="8" t="s">
        <v>4</v>
      </c>
      <c r="J22" s="62"/>
      <c r="K22" s="8" t="s">
        <v>2</v>
      </c>
      <c r="L22" s="8" t="s">
        <v>3</v>
      </c>
      <c r="M22" s="8" t="s">
        <v>5</v>
      </c>
      <c r="N22" s="63"/>
    </row>
    <row r="23" spans="1:23" x14ac:dyDescent="0.25">
      <c r="A23" s="22"/>
      <c r="B23" s="60"/>
      <c r="C23" s="19">
        <f t="array" ref="C23:E25">MINVERSE(C13:E15)</f>
        <v>-0.54604489204276674</v>
      </c>
      <c r="D23" s="20">
        <v>0.74492741158036568</v>
      </c>
      <c r="E23" s="20">
        <v>0.38329900515156501</v>
      </c>
      <c r="F23" s="62"/>
      <c r="G23" s="16">
        <f>K13</f>
        <v>19.430647795538178</v>
      </c>
      <c r="H23" s="16">
        <f t="shared" ref="H23:I26" si="3">L13</f>
        <v>-124.24271591894237</v>
      </c>
      <c r="I23" s="16">
        <f t="shared" si="3"/>
        <v>79.733603125224036</v>
      </c>
      <c r="J23" s="60"/>
      <c r="K23" s="15">
        <f>($C$23*G23)+($D$23*H23)+($E$23*I23)</f>
        <v>-72.600000000000009</v>
      </c>
      <c r="L23" s="15">
        <f>($C$24*G23)+($D$24*H23)+($E$24*I23)</f>
        <v>-123.19999999999999</v>
      </c>
      <c r="M23" s="15">
        <f>($C$25*G23)+($D$25*H23)+($E$25*I23)</f>
        <v>-41.500000000000007</v>
      </c>
      <c r="N23" s="63"/>
    </row>
    <row r="24" spans="1:23" x14ac:dyDescent="0.25">
      <c r="A24" s="22"/>
      <c r="B24" s="60"/>
      <c r="C24" s="20">
        <v>0.41012926041976633</v>
      </c>
      <c r="D24" s="20">
        <v>0.63665297600805781</v>
      </c>
      <c r="E24" s="20">
        <v>-0.65304439197317865</v>
      </c>
      <c r="F24" s="62"/>
      <c r="G24" s="16">
        <f t="shared" ref="G24:G26" si="4">K14</f>
        <v>59.692154651741284</v>
      </c>
      <c r="H24" s="16">
        <f t="shared" si="3"/>
        <v>-74.718238004094985</v>
      </c>
      <c r="I24" s="16">
        <f t="shared" si="3"/>
        <v>-167.35170026801643</v>
      </c>
      <c r="J24" s="60"/>
      <c r="K24" s="15">
        <f>($C$23*G24)+($D$23*H24)+($E$23*I24)</f>
        <v>-152.39999999999998</v>
      </c>
      <c r="L24" s="15">
        <f>($C$24*G24)+($D$24*H24)+($E$24*I24)</f>
        <v>86.19999999999996</v>
      </c>
      <c r="M24" s="15">
        <f>($C$25*G24)+($D$25*H24)+($E$25*I24)</f>
        <v>80.59999999999998</v>
      </c>
      <c r="N24" s="63"/>
    </row>
    <row r="25" spans="1:23" x14ac:dyDescent="0.25">
      <c r="A25" s="22"/>
      <c r="B25" s="60"/>
      <c r="C25" s="20">
        <v>-0.73049912089032576</v>
      </c>
      <c r="D25" s="20">
        <v>-0.19938941701168514</v>
      </c>
      <c r="E25" s="20">
        <v>-0.65315763393089254</v>
      </c>
      <c r="F25" s="62"/>
      <c r="G25" s="16">
        <f t="shared" si="4"/>
        <v>-101.85349358589572</v>
      </c>
      <c r="H25" s="16">
        <f t="shared" si="3"/>
        <v>260.50182284817356</v>
      </c>
      <c r="I25" s="16">
        <f t="shared" si="3"/>
        <v>-119.93646708623154</v>
      </c>
      <c r="J25" s="60"/>
      <c r="K25" s="15">
        <f>($C$23*G25)+($D$23*H25)+($E$23*I25)</f>
        <v>203.7</v>
      </c>
      <c r="L25" s="15">
        <f>($C$24*G25)+($D$24*H25)+($E$24*I25)</f>
        <v>202.39999999999998</v>
      </c>
      <c r="M25" s="15">
        <f>($C$25*G25)+($D$25*H25)+($E$25*I25)</f>
        <v>100.80000000000003</v>
      </c>
      <c r="N25" s="63"/>
    </row>
    <row r="26" spans="1:23" x14ac:dyDescent="0.25">
      <c r="A26" s="22"/>
      <c r="B26" s="62"/>
      <c r="C26" s="62"/>
      <c r="D26" s="62"/>
      <c r="E26" s="62"/>
      <c r="F26" s="62"/>
      <c r="G26" s="16">
        <f t="shared" si="4"/>
        <v>-169.95651195383817</v>
      </c>
      <c r="H26" s="16">
        <f t="shared" si="3"/>
        <v>261.56099998322992</v>
      </c>
      <c r="I26" s="16">
        <f t="shared" si="3"/>
        <v>-166.57450985147062</v>
      </c>
      <c r="J26" s="62"/>
      <c r="K26" s="15">
        <f>($C$23*G26)+($D$23*H26)+($E$23*I26)</f>
        <v>223.8</v>
      </c>
      <c r="L26" s="15">
        <f>($C$24*G26)+($D$24*H26)+($E24*I26)</f>
        <v>205.59999999999997</v>
      </c>
      <c r="M26" s="15">
        <f>($C$25*G26)+($D$25*H26)+($E$25*I26)</f>
        <v>180.8</v>
      </c>
      <c r="N26" s="63"/>
    </row>
    <row r="27" spans="1:23" x14ac:dyDescent="0.25">
      <c r="A27" s="22"/>
      <c r="B27" s="62"/>
      <c r="C27" s="62"/>
      <c r="D27" s="62"/>
      <c r="E27" s="62"/>
      <c r="F27" s="62"/>
      <c r="G27" s="12"/>
      <c r="H27" s="12"/>
      <c r="I27" s="12"/>
      <c r="J27" s="62"/>
      <c r="K27" s="12"/>
      <c r="L27" s="12"/>
      <c r="M27" s="12"/>
      <c r="N27" s="63"/>
    </row>
    <row r="28" spans="1:23" x14ac:dyDescent="0.25">
      <c r="A28" s="22"/>
      <c r="B28" s="60"/>
      <c r="C28" s="60"/>
      <c r="D28" s="60"/>
      <c r="E28" s="60"/>
      <c r="F28" s="60"/>
      <c r="G28" s="60">
        <v>0</v>
      </c>
      <c r="H28" s="60"/>
      <c r="I28" s="60"/>
      <c r="J28" s="60"/>
      <c r="K28" s="60"/>
      <c r="L28" s="60"/>
      <c r="M28" s="60"/>
      <c r="N28" s="61"/>
    </row>
    <row r="29" spans="1:23" x14ac:dyDescent="0.25">
      <c r="A29" s="22"/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1"/>
    </row>
    <row r="30" spans="1:23" x14ac:dyDescent="0.25">
      <c r="A30" s="22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1"/>
    </row>
    <row r="31" spans="1:23" x14ac:dyDescent="0.25">
      <c r="A31" s="22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1"/>
    </row>
    <row r="32" spans="1:23" x14ac:dyDescent="0.25">
      <c r="A32" s="22"/>
      <c r="B32" s="60"/>
      <c r="C32" s="105" t="s">
        <v>24</v>
      </c>
      <c r="D32" s="105"/>
      <c r="E32" s="105"/>
      <c r="F32" s="60"/>
      <c r="G32" s="105" t="s">
        <v>25</v>
      </c>
      <c r="H32" s="105"/>
      <c r="I32" s="105"/>
      <c r="J32" s="60"/>
      <c r="K32" s="60"/>
      <c r="L32" s="60"/>
      <c r="M32" s="60"/>
      <c r="N32" s="61"/>
    </row>
    <row r="33" spans="1:33" x14ac:dyDescent="0.25">
      <c r="A33" s="22"/>
      <c r="B33" s="60"/>
      <c r="C33" s="20">
        <f t="array" ref="C33:E35">TRANSPOSE(C13:E15)</f>
        <v>-0.54604489204276685</v>
      </c>
      <c r="D33" s="20">
        <v>0.74492741158036579</v>
      </c>
      <c r="E33" s="20">
        <v>0.38329900515156512</v>
      </c>
      <c r="F33" s="60"/>
      <c r="G33" s="20">
        <f t="array" ref="G33:I35">MMULT(C13:E15,C33:E35)</f>
        <v>1</v>
      </c>
      <c r="H33" s="20">
        <v>-8.3266726846886741E-17</v>
      </c>
      <c r="I33" s="20">
        <v>-5.5511151231257827E-17</v>
      </c>
      <c r="J33" s="60"/>
      <c r="K33" s="60"/>
      <c r="L33" s="60"/>
      <c r="M33" s="60"/>
      <c r="N33" s="61"/>
    </row>
    <row r="34" spans="1:33" x14ac:dyDescent="0.25">
      <c r="A34" s="22"/>
      <c r="B34" s="60"/>
      <c r="C34" s="20">
        <v>0.41012926041976627</v>
      </c>
      <c r="D34" s="20">
        <v>0.63665297600805792</v>
      </c>
      <c r="E34" s="20">
        <v>-0.65304439197317876</v>
      </c>
      <c r="F34" s="60"/>
      <c r="G34" s="20">
        <v>-8.3266726846886741E-17</v>
      </c>
      <c r="H34" s="20">
        <v>1</v>
      </c>
      <c r="I34" s="20">
        <v>-2.7755575615628914E-17</v>
      </c>
      <c r="J34" s="60"/>
      <c r="K34" s="60"/>
      <c r="L34" s="60"/>
      <c r="M34" s="60"/>
      <c r="N34" s="61"/>
      <c r="R34" s="35"/>
    </row>
    <row r="35" spans="1:33" x14ac:dyDescent="0.25">
      <c r="A35" s="22"/>
      <c r="B35" s="60"/>
      <c r="C35" s="20">
        <v>-0.73049912089032565</v>
      </c>
      <c r="D35" s="20">
        <v>-0.19938941701168506</v>
      </c>
      <c r="E35" s="20">
        <v>-0.65315763393089243</v>
      </c>
      <c r="F35" s="60"/>
      <c r="G35" s="20">
        <v>-5.5511151231257827E-17</v>
      </c>
      <c r="H35" s="20">
        <v>-2.7755575615628914E-17</v>
      </c>
      <c r="I35" s="20">
        <v>1</v>
      </c>
      <c r="J35" s="60"/>
      <c r="K35" s="60"/>
      <c r="L35" s="60"/>
      <c r="M35" s="60"/>
      <c r="N35" s="61"/>
      <c r="P35" s="35"/>
      <c r="Q35" s="35"/>
      <c r="R35" s="35"/>
      <c r="U35" s="105" t="s">
        <v>27</v>
      </c>
      <c r="V35" s="105"/>
      <c r="W35" s="105"/>
      <c r="Z35" s="105" t="s">
        <v>26</v>
      </c>
      <c r="AA35" s="105"/>
      <c r="AB35" s="105"/>
      <c r="AE35" s="105" t="s">
        <v>28</v>
      </c>
      <c r="AF35" s="105"/>
      <c r="AG35" s="105"/>
    </row>
    <row r="36" spans="1:33" ht="15.75" thickBot="1" x14ac:dyDescent="0.3">
      <c r="A36" s="29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1"/>
      <c r="P36" s="35"/>
      <c r="Q36" s="35"/>
      <c r="R36" s="35"/>
      <c r="S36" s="33"/>
      <c r="T36" s="33"/>
      <c r="U36" s="32">
        <v>-0.19020200000000001</v>
      </c>
      <c r="V36" s="32">
        <v>0.69673300000000005</v>
      </c>
      <c r="W36" s="32">
        <v>0.69165500000000002</v>
      </c>
      <c r="X36" s="33"/>
      <c r="Y36" s="33"/>
      <c r="Z36" s="32">
        <v>0.45171099999999997</v>
      </c>
      <c r="AA36" s="32">
        <v>-0.80075499999999999</v>
      </c>
      <c r="AB36" s="32">
        <v>0.39338000000000001</v>
      </c>
      <c r="AE36" s="32">
        <v>0.60336500000000004</v>
      </c>
      <c r="AF36" s="32">
        <v>0.446515</v>
      </c>
      <c r="AG36" s="32">
        <v>0.66073800000000005</v>
      </c>
    </row>
    <row r="37" spans="1:33" x14ac:dyDescent="0.25">
      <c r="P37" s="34"/>
      <c r="Q37" s="34"/>
      <c r="R37" s="34"/>
      <c r="S37" s="33"/>
      <c r="T37" s="33"/>
      <c r="U37" s="32">
        <v>-0.90742299999999998</v>
      </c>
      <c r="V37" s="32">
        <v>-0.39366299999999999</v>
      </c>
      <c r="W37" s="32">
        <v>0.14701600000000001</v>
      </c>
      <c r="X37" s="33"/>
      <c r="Y37" s="33"/>
      <c r="Z37" s="32">
        <v>0.70823800000000003</v>
      </c>
      <c r="AA37" s="32">
        <v>5.3709E-2</v>
      </c>
      <c r="AB37" s="32">
        <v>-0.703928</v>
      </c>
      <c r="AE37" s="32">
        <v>-0.66570300000000004</v>
      </c>
      <c r="AF37" s="32">
        <v>-0.174176</v>
      </c>
      <c r="AG37" s="32">
        <v>0.72560500000000006</v>
      </c>
    </row>
    <row r="38" spans="1:33" x14ac:dyDescent="0.25">
      <c r="P38" s="34"/>
      <c r="Q38" s="34"/>
      <c r="R38" s="34"/>
      <c r="S38" s="33"/>
      <c r="T38" s="33"/>
      <c r="U38" s="32">
        <v>0.37470999999999999</v>
      </c>
      <c r="V38" s="32">
        <v>-0.599661</v>
      </c>
      <c r="W38" s="32">
        <v>0.70710700000000004</v>
      </c>
      <c r="X38" s="33"/>
      <c r="Y38" s="33"/>
      <c r="Z38" s="32">
        <v>0.54254599999999997</v>
      </c>
      <c r="AA38" s="32">
        <v>0.59657899999999997</v>
      </c>
      <c r="AB38" s="32">
        <v>0.59138599999999997</v>
      </c>
      <c r="AE38" s="32">
        <v>0.43907800000000002</v>
      </c>
      <c r="AF38" s="32">
        <v>-0.87766</v>
      </c>
      <c r="AG38" s="32">
        <v>0.19215499999999999</v>
      </c>
    </row>
    <row r="40" spans="1:33" ht="15.75" thickBot="1" x14ac:dyDescent="0.3"/>
    <row r="41" spans="1:33" x14ac:dyDescent="0.25">
      <c r="U41" s="36">
        <f t="array" ref="U41:W43">MMULT(Z41:AB43,U36:W38)</f>
        <v>-3.6249452243311969E-3</v>
      </c>
      <c r="V41" s="37">
        <v>0.49740642757211651</v>
      </c>
      <c r="W41" s="38">
        <v>0.86750992129316584</v>
      </c>
      <c r="Z41" s="36">
        <f t="array" ref="Z41:AB43">MMULT(AE36:AG38,Z36:AB38)</f>
        <v>0.94726625703300005</v>
      </c>
      <c r="AA41" s="37">
        <v>-6.498325113800002E-2</v>
      </c>
      <c r="AB41" s="38">
        <v>0.31378851564800003</v>
      </c>
    </row>
    <row r="42" spans="1:33" x14ac:dyDescent="0.25">
      <c r="U42" s="39">
        <v>-0.75364436098582599</v>
      </c>
      <c r="V42" s="40">
        <v>-0.57155689174756819</v>
      </c>
      <c r="W42" s="41">
        <v>0.32456719087085417</v>
      </c>
      <c r="Z42" s="39">
        <v>-3.038933939099997E-2</v>
      </c>
      <c r="AA42" s="40">
        <v>0.95659089227600003</v>
      </c>
      <c r="AB42" s="41">
        <v>0.28984575571799998</v>
      </c>
    </row>
    <row r="43" spans="1:33" ht="15.75" thickBot="1" x14ac:dyDescent="0.3">
      <c r="U43" s="42">
        <v>0.6572728779424728</v>
      </c>
      <c r="V43" s="43">
        <v>-0.65261806929035171</v>
      </c>
      <c r="W43" s="44">
        <v>0.37693949384610254</v>
      </c>
      <c r="Z43" s="42">
        <v>-0.319002873992</v>
      </c>
      <c r="AA43" s="43">
        <v>-0.28409650708500001</v>
      </c>
      <c r="AB43" s="44">
        <v>0.90417172894999998</v>
      </c>
    </row>
    <row r="45" spans="1:33" x14ac:dyDescent="0.25"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0"/>
    </row>
    <row r="46" spans="1:33" x14ac:dyDescent="0.25"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</row>
    <row r="47" spans="1:33" x14ac:dyDescent="0.25"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</row>
    <row r="48" spans="1:33" x14ac:dyDescent="0.25">
      <c r="N48" s="47"/>
      <c r="O48" s="47"/>
      <c r="P48" s="47"/>
      <c r="Q48" s="60"/>
      <c r="R48" s="60"/>
      <c r="S48" s="34"/>
      <c r="T48" s="34"/>
      <c r="U48" s="53"/>
      <c r="V48" s="60"/>
      <c r="W48" s="60"/>
      <c r="X48" s="60"/>
      <c r="Y48" s="60"/>
      <c r="Z48" s="60"/>
    </row>
    <row r="50" spans="4:24" x14ac:dyDescent="0.25">
      <c r="S50" s="47"/>
      <c r="T50" s="47"/>
      <c r="U50" s="47"/>
      <c r="V50" s="47"/>
      <c r="W50" s="47"/>
      <c r="X50" s="47"/>
    </row>
    <row r="51" spans="4:24" x14ac:dyDescent="0.25">
      <c r="S51" s="47"/>
      <c r="T51" s="47"/>
      <c r="U51" s="47"/>
      <c r="V51" s="47"/>
      <c r="W51" s="47"/>
      <c r="X51" s="47"/>
    </row>
    <row r="52" spans="4:24" x14ac:dyDescent="0.25">
      <c r="S52" s="47"/>
      <c r="T52" s="47"/>
      <c r="U52" s="47"/>
      <c r="V52" s="47"/>
      <c r="W52" s="47"/>
      <c r="X52" s="47"/>
    </row>
    <row r="53" spans="4:24" x14ac:dyDescent="0.25">
      <c r="D53" s="105" t="s">
        <v>27</v>
      </c>
      <c r="E53" s="105"/>
      <c r="F53" s="105"/>
      <c r="I53" s="105" t="s">
        <v>26</v>
      </c>
      <c r="J53" s="105"/>
      <c r="K53" s="105"/>
      <c r="N53" s="105" t="s">
        <v>28</v>
      </c>
      <c r="O53" s="105"/>
      <c r="P53" s="105"/>
      <c r="S53" s="47"/>
      <c r="T53" s="47"/>
      <c r="U53" s="47"/>
      <c r="V53" s="47"/>
      <c r="W53" s="47"/>
      <c r="X53" s="47"/>
    </row>
    <row r="54" spans="4:24" x14ac:dyDescent="0.25">
      <c r="D54" s="52">
        <v>-0.19020200000000001</v>
      </c>
      <c r="E54" s="52">
        <v>0.69673300000000005</v>
      </c>
      <c r="F54" s="52">
        <v>0.69165500000000002</v>
      </c>
      <c r="G54" s="57">
        <v>0</v>
      </c>
      <c r="H54" s="33"/>
      <c r="I54" s="52">
        <v>0.45171099999999997</v>
      </c>
      <c r="J54" s="52">
        <v>-0.80075499999999999</v>
      </c>
      <c r="K54" s="52">
        <v>0.39338000000000001</v>
      </c>
      <c r="L54" s="54">
        <v>0</v>
      </c>
      <c r="N54" s="52">
        <v>0.60336500000000004</v>
      </c>
      <c r="O54" s="52">
        <v>0.446515</v>
      </c>
      <c r="P54" s="52">
        <v>0.66073800000000005</v>
      </c>
      <c r="Q54" s="54">
        <v>335.98722800000002</v>
      </c>
      <c r="S54" s="47"/>
      <c r="T54" s="47"/>
      <c r="U54" s="47"/>
      <c r="V54" s="47"/>
      <c r="W54" s="47"/>
      <c r="X54" s="47"/>
    </row>
    <row r="55" spans="4:24" x14ac:dyDescent="0.25">
      <c r="D55" s="52">
        <v>-0.90742299999999998</v>
      </c>
      <c r="E55" s="52">
        <v>-0.39366299999999999</v>
      </c>
      <c r="F55" s="52">
        <v>0.14701600000000001</v>
      </c>
      <c r="G55" s="57">
        <v>0</v>
      </c>
      <c r="H55" s="33"/>
      <c r="I55" s="52">
        <v>0.70823800000000003</v>
      </c>
      <c r="J55" s="52">
        <v>5.3709E-2</v>
      </c>
      <c r="K55" s="52">
        <v>-0.703928</v>
      </c>
      <c r="L55" s="54">
        <v>0</v>
      </c>
      <c r="N55" s="52">
        <v>-0.66570300000000004</v>
      </c>
      <c r="O55" s="52">
        <v>-0.174176</v>
      </c>
      <c r="P55" s="52">
        <v>0.72560500000000006</v>
      </c>
      <c r="Q55" s="54">
        <v>-55.320321999999997</v>
      </c>
      <c r="S55" s="47"/>
      <c r="T55" s="47"/>
      <c r="U55" s="47"/>
      <c r="V55" s="47"/>
      <c r="W55" s="47"/>
      <c r="X55" s="47"/>
    </row>
    <row r="56" spans="4:24" x14ac:dyDescent="0.25">
      <c r="D56" s="52">
        <v>0.37470999999999999</v>
      </c>
      <c r="E56" s="52">
        <v>-0.599661</v>
      </c>
      <c r="F56" s="52">
        <v>0.70710700000000004</v>
      </c>
      <c r="G56" s="57">
        <v>0</v>
      </c>
      <c r="H56" s="33"/>
      <c r="I56" s="52">
        <v>0.54254599999999997</v>
      </c>
      <c r="J56" s="52">
        <v>0.59657899999999997</v>
      </c>
      <c r="K56" s="52">
        <v>0.59138599999999997</v>
      </c>
      <c r="L56" s="54">
        <v>0</v>
      </c>
      <c r="N56" s="52">
        <v>0.43907800000000002</v>
      </c>
      <c r="O56" s="52">
        <v>-0.87766</v>
      </c>
      <c r="P56" s="52">
        <v>0.19215499999999999</v>
      </c>
      <c r="Q56" s="54">
        <v>-157.38467</v>
      </c>
      <c r="S56" s="47"/>
      <c r="T56" s="47"/>
      <c r="U56" s="47"/>
      <c r="V56" s="47"/>
      <c r="W56" s="47"/>
      <c r="X56" s="47"/>
    </row>
    <row r="57" spans="4:24" x14ac:dyDescent="0.25">
      <c r="D57" s="56">
        <v>0</v>
      </c>
      <c r="E57" s="56">
        <v>0</v>
      </c>
      <c r="F57" s="56">
        <v>0</v>
      </c>
      <c r="G57" s="56">
        <v>1</v>
      </c>
      <c r="I57" s="56">
        <v>0</v>
      </c>
      <c r="J57" s="56">
        <v>0</v>
      </c>
      <c r="K57" s="56">
        <v>0</v>
      </c>
      <c r="L57" s="47">
        <v>1</v>
      </c>
      <c r="N57" s="56">
        <v>0</v>
      </c>
      <c r="O57" s="56">
        <v>0</v>
      </c>
      <c r="P57" s="56">
        <v>0</v>
      </c>
      <c r="Q57" s="47">
        <v>1</v>
      </c>
      <c r="S57" s="47"/>
      <c r="T57" s="47"/>
      <c r="U57" s="47"/>
      <c r="V57" s="47"/>
      <c r="W57" s="47"/>
      <c r="X57" s="47"/>
    </row>
    <row r="58" spans="4:24" x14ac:dyDescent="0.25">
      <c r="S58" s="47"/>
      <c r="T58" s="47"/>
      <c r="U58" s="47"/>
      <c r="V58" s="47"/>
      <c r="W58" s="47"/>
      <c r="X58" s="47"/>
    </row>
    <row r="59" spans="4:24" x14ac:dyDescent="0.25">
      <c r="S59" s="47"/>
      <c r="T59" s="47"/>
      <c r="U59" s="47"/>
      <c r="V59" s="47"/>
      <c r="W59" s="47"/>
      <c r="X59" s="47"/>
    </row>
    <row r="60" spans="4:24" x14ac:dyDescent="0.25">
      <c r="D60" s="55">
        <v>1</v>
      </c>
      <c r="E60" s="55">
        <v>0</v>
      </c>
      <c r="F60" s="55">
        <v>0</v>
      </c>
      <c r="G60" s="52">
        <v>-72.599999999999994</v>
      </c>
      <c r="I60" s="55">
        <v>1</v>
      </c>
      <c r="J60" s="55">
        <v>0</v>
      </c>
      <c r="K60" s="55">
        <v>0</v>
      </c>
      <c r="L60" s="52">
        <v>245.525057</v>
      </c>
      <c r="N60" s="55">
        <v>1</v>
      </c>
      <c r="O60" s="55">
        <v>0</v>
      </c>
      <c r="P60" s="55">
        <v>0</v>
      </c>
      <c r="Q60" s="40">
        <v>335.98722800000002</v>
      </c>
      <c r="S60" s="47"/>
      <c r="T60" s="47"/>
      <c r="U60" s="47"/>
      <c r="V60" s="47"/>
      <c r="W60" s="47"/>
      <c r="X60" s="47"/>
    </row>
    <row r="61" spans="4:24" x14ac:dyDescent="0.25">
      <c r="D61" s="55">
        <v>0</v>
      </c>
      <c r="E61" s="55">
        <v>1</v>
      </c>
      <c r="F61" s="55">
        <v>0</v>
      </c>
      <c r="G61" s="52">
        <v>-123.2</v>
      </c>
      <c r="I61" s="55">
        <v>0</v>
      </c>
      <c r="J61" s="55">
        <v>1</v>
      </c>
      <c r="K61" s="55">
        <v>0</v>
      </c>
      <c r="L61" s="52">
        <v>7.9299629999999999</v>
      </c>
      <c r="N61" s="55">
        <v>0</v>
      </c>
      <c r="O61" s="55">
        <v>1</v>
      </c>
      <c r="P61" s="55">
        <v>0</v>
      </c>
      <c r="Q61" s="40">
        <v>-55.320321999999997</v>
      </c>
      <c r="S61" s="47"/>
      <c r="T61" s="47"/>
      <c r="U61" s="47"/>
      <c r="V61" s="47"/>
      <c r="W61" s="47"/>
      <c r="X61" s="47"/>
    </row>
    <row r="62" spans="4:24" x14ac:dyDescent="0.25">
      <c r="D62" s="55">
        <v>0</v>
      </c>
      <c r="E62" s="55">
        <v>0</v>
      </c>
      <c r="F62" s="55">
        <v>1</v>
      </c>
      <c r="G62" s="52">
        <v>-41.5</v>
      </c>
      <c r="I62" s="55">
        <v>0</v>
      </c>
      <c r="J62" s="55">
        <v>0</v>
      </c>
      <c r="K62" s="55">
        <v>1</v>
      </c>
      <c r="L62" s="52">
        <v>-69.133002000000005</v>
      </c>
      <c r="N62" s="55">
        <v>0</v>
      </c>
      <c r="O62" s="55">
        <v>0</v>
      </c>
      <c r="P62" s="55">
        <v>1</v>
      </c>
      <c r="Q62" s="40">
        <v>-157.38467</v>
      </c>
      <c r="S62" s="47"/>
      <c r="T62" s="47"/>
      <c r="U62" s="47"/>
      <c r="V62" s="47"/>
      <c r="W62" s="47"/>
      <c r="X62" s="47"/>
    </row>
    <row r="63" spans="4:24" x14ac:dyDescent="0.25">
      <c r="D63" s="55">
        <v>0</v>
      </c>
      <c r="E63" s="55">
        <v>0</v>
      </c>
      <c r="F63" s="55">
        <v>0</v>
      </c>
      <c r="G63" s="52">
        <v>1</v>
      </c>
      <c r="I63" s="55">
        <v>0</v>
      </c>
      <c r="J63" s="55">
        <v>0</v>
      </c>
      <c r="K63" s="55">
        <v>0</v>
      </c>
      <c r="L63" s="52">
        <v>1</v>
      </c>
      <c r="N63" s="55">
        <v>0</v>
      </c>
      <c r="O63" s="55">
        <v>0</v>
      </c>
      <c r="P63" s="55">
        <v>0</v>
      </c>
      <c r="Q63" s="40">
        <v>1</v>
      </c>
      <c r="S63" s="47"/>
      <c r="T63" s="47"/>
      <c r="U63" s="47"/>
      <c r="V63" s="47"/>
      <c r="W63" s="47"/>
      <c r="X63" s="47"/>
    </row>
    <row r="64" spans="4:24" x14ac:dyDescent="0.25">
      <c r="S64" s="47"/>
      <c r="T64" s="47"/>
      <c r="U64" s="47"/>
      <c r="V64" s="47"/>
      <c r="W64" s="47"/>
      <c r="X64" s="47"/>
    </row>
    <row r="65" spans="1:24" x14ac:dyDescent="0.25">
      <c r="D65" s="35"/>
      <c r="E65" s="35"/>
      <c r="F65" s="35"/>
      <c r="G65" s="35"/>
      <c r="S65" s="47"/>
      <c r="T65" s="47"/>
      <c r="U65" s="47"/>
      <c r="V65" s="47"/>
      <c r="W65" s="47"/>
      <c r="X65" s="47"/>
    </row>
    <row r="66" spans="1:24" x14ac:dyDescent="0.25">
      <c r="D66" s="132" t="s">
        <v>26</v>
      </c>
      <c r="E66" s="132"/>
      <c r="F66" s="132"/>
      <c r="H66" s="132" t="s">
        <v>28</v>
      </c>
      <c r="I66" s="132"/>
      <c r="J66" s="132"/>
    </row>
    <row r="67" spans="1:24" x14ac:dyDescent="0.25">
      <c r="D67" s="18">
        <f t="array" ref="D67:F69">MMULT(N54:P56,I54:K56)</f>
        <v>0.94726625703300005</v>
      </c>
      <c r="E67" s="18">
        <v>-6.498325113800002E-2</v>
      </c>
      <c r="F67" s="18">
        <v>0.31378851564800003</v>
      </c>
      <c r="H67" s="58">
        <f t="array" ref="H67:J69">MMULT(D67:F69,D54:F56)</f>
        <v>-3.6249452243311969E-3</v>
      </c>
      <c r="I67" s="58">
        <v>0.49740642757211651</v>
      </c>
      <c r="J67" s="58">
        <v>0.86750992129316584</v>
      </c>
    </row>
    <row r="68" spans="1:24" x14ac:dyDescent="0.25">
      <c r="D68" s="18">
        <v>-3.038933939099997E-2</v>
      </c>
      <c r="E68" s="18">
        <v>0.95659089227600003</v>
      </c>
      <c r="F68" s="18">
        <v>0.28984575571799998</v>
      </c>
      <c r="H68" s="58">
        <v>-0.75364436098582599</v>
      </c>
      <c r="I68" s="58">
        <v>-0.57155689174756819</v>
      </c>
      <c r="J68" s="58">
        <v>0.32456719087085417</v>
      </c>
    </row>
    <row r="69" spans="1:24" x14ac:dyDescent="0.25">
      <c r="D69" s="18">
        <v>-0.319002873992</v>
      </c>
      <c r="E69" s="18">
        <v>-0.28409650708500001</v>
      </c>
      <c r="F69" s="18">
        <v>0.90417172894999998</v>
      </c>
      <c r="H69" s="58">
        <v>0.6572728779424728</v>
      </c>
      <c r="I69" s="58">
        <v>-0.65261806929035171</v>
      </c>
      <c r="J69" s="58">
        <v>0.37693949384610254</v>
      </c>
    </row>
    <row r="71" spans="1:24" x14ac:dyDescent="0.25">
      <c r="A71" s="18">
        <f t="array" ref="A71:C73">TRANSPOSE(D54:F56)</f>
        <v>-0.19020200000000001</v>
      </c>
      <c r="B71" s="18">
        <v>-0.90742299999999998</v>
      </c>
      <c r="C71" s="18">
        <v>0.37470999999999999</v>
      </c>
    </row>
    <row r="72" spans="1:24" x14ac:dyDescent="0.25">
      <c r="A72" s="18">
        <v>0.69673300000000005</v>
      </c>
      <c r="B72" s="18">
        <v>-0.39366299999999999</v>
      </c>
      <c r="C72" s="18">
        <v>-0.599661</v>
      </c>
    </row>
    <row r="73" spans="1:24" x14ac:dyDescent="0.25">
      <c r="A73" s="18">
        <v>0.69165500000000002</v>
      </c>
      <c r="B73" s="18">
        <v>0.14701600000000001</v>
      </c>
      <c r="C73" s="18">
        <v>0.70710700000000004</v>
      </c>
    </row>
    <row r="74" spans="1:24" x14ac:dyDescent="0.25"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</row>
    <row r="75" spans="1:24" x14ac:dyDescent="0.25">
      <c r="D75" s="18">
        <f t="array" ref="D75:F77">TRANSPOSE(I54:K56)</f>
        <v>0.45171099999999997</v>
      </c>
      <c r="E75" s="18">
        <v>0.70823800000000003</v>
      </c>
      <c r="F75" s="18">
        <v>0.54254599999999997</v>
      </c>
      <c r="G75" s="54"/>
      <c r="H75" s="54">
        <f>D75*Q60+E75*Q61+F75*Q62</f>
        <v>27.200749364651998</v>
      </c>
      <c r="I75" s="54"/>
      <c r="J75" s="59">
        <f>H75+L60</f>
        <v>272.72580636465199</v>
      </c>
      <c r="K75" s="54"/>
      <c r="L75" s="54">
        <f>A71*J75+B71*J76+C71*J77</f>
        <v>276.30009061632876</v>
      </c>
      <c r="M75" s="54"/>
      <c r="N75" s="54">
        <f>L75+G60</f>
        <v>203.70009061632877</v>
      </c>
    </row>
    <row r="76" spans="1:24" x14ac:dyDescent="0.25">
      <c r="D76" s="18">
        <v>-0.80075499999999999</v>
      </c>
      <c r="E76" s="18">
        <v>5.3709E-2</v>
      </c>
      <c r="F76" s="18">
        <v>0.59657899999999997</v>
      </c>
      <c r="G76" s="54"/>
      <c r="H76" s="54">
        <f>D76*Q60+E76*Q61+F76*Q62</f>
        <v>-365.90704097536803</v>
      </c>
      <c r="I76" s="54"/>
      <c r="J76" s="59">
        <f t="shared" ref="J76:J77" si="5">H76+L61</f>
        <v>-357.97707797536805</v>
      </c>
      <c r="K76" s="54"/>
      <c r="L76" s="54">
        <f>A72*J75+B72*J76+C72*J77</f>
        <v>325.59996602464565</v>
      </c>
      <c r="M76" s="54"/>
      <c r="N76" s="54">
        <f t="shared" ref="N76:N77" si="6">L76+G61</f>
        <v>202.39996602464566</v>
      </c>
    </row>
    <row r="77" spans="1:24" x14ac:dyDescent="0.25">
      <c r="D77" s="18">
        <v>0.39338000000000001</v>
      </c>
      <c r="E77" s="18">
        <v>-0.703928</v>
      </c>
      <c r="F77" s="18">
        <v>0.59138599999999997</v>
      </c>
      <c r="H77" s="54">
        <f>D77*Q60+E77*Q61+F77*Q62</f>
        <v>78.03708892283602</v>
      </c>
      <c r="J77" s="59">
        <f t="shared" si="5"/>
        <v>8.9040869228360151</v>
      </c>
      <c r="L77" s="54">
        <f>A73*J75+B73*J76+C73*J77</f>
        <v>142.29995169726249</v>
      </c>
      <c r="N77" s="54">
        <f t="shared" si="6"/>
        <v>100.79995169726249</v>
      </c>
    </row>
    <row r="80" spans="1:24" x14ac:dyDescent="0.25">
      <c r="H80" s="54"/>
      <c r="J80" s="54"/>
    </row>
    <row r="81" spans="8:20" x14ac:dyDescent="0.25">
      <c r="H81" s="54"/>
      <c r="J81" s="54"/>
    </row>
    <row r="82" spans="8:20" x14ac:dyDescent="0.25">
      <c r="H82" s="54"/>
      <c r="J82" s="54"/>
    </row>
    <row r="84" spans="8:20" x14ac:dyDescent="0.25">
      <c r="T84" s="18" t="s">
        <v>29</v>
      </c>
    </row>
  </sheetData>
  <mergeCells count="28">
    <mergeCell ref="B6:N6"/>
    <mergeCell ref="B1:N1"/>
    <mergeCell ref="B2:N2"/>
    <mergeCell ref="B3:N3"/>
    <mergeCell ref="B4:N4"/>
    <mergeCell ref="B5:N5"/>
    <mergeCell ref="C22:E22"/>
    <mergeCell ref="B9:E9"/>
    <mergeCell ref="G9:M9"/>
    <mergeCell ref="B11:E11"/>
    <mergeCell ref="G11:I11"/>
    <mergeCell ref="K11:M11"/>
    <mergeCell ref="Z13:AB13"/>
    <mergeCell ref="G19:M19"/>
    <mergeCell ref="G21:I21"/>
    <mergeCell ref="K21:M21"/>
    <mergeCell ref="O21:Q21"/>
    <mergeCell ref="U13:W13"/>
    <mergeCell ref="Z35:AB35"/>
    <mergeCell ref="AE35:AG35"/>
    <mergeCell ref="D53:F53"/>
    <mergeCell ref="I53:K53"/>
    <mergeCell ref="N53:P53"/>
    <mergeCell ref="D66:F66"/>
    <mergeCell ref="H66:J66"/>
    <mergeCell ref="C32:E32"/>
    <mergeCell ref="G32:I32"/>
    <mergeCell ref="U35:W35"/>
  </mergeCells>
  <hyperlinks>
    <hyperlink ref="B6" r:id="rId1"/>
  </hyperlinks>
  <pageMargins left="0.7" right="0.7" top="0.75" bottom="0.75" header="0.3" footer="0.3"/>
  <pageSetup orientation="portrait" r:id="rId2"/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4"/>
  <dimension ref="A1:AG105"/>
  <sheetViews>
    <sheetView topLeftCell="A43" zoomScale="85" zoomScaleNormal="85" workbookViewId="0">
      <selection activeCell="I54" sqref="I54:K56"/>
    </sheetView>
  </sheetViews>
  <sheetFormatPr defaultRowHeight="15" x14ac:dyDescent="0.25"/>
  <cols>
    <col min="1" max="1" width="9.140625" style="18"/>
    <col min="2" max="2" width="9.85546875" style="18" bestFit="1" customWidth="1"/>
    <col min="3" max="3" width="9.7109375" style="18" bestFit="1" customWidth="1"/>
    <col min="4" max="4" width="10.28515625" style="18" bestFit="1" customWidth="1"/>
    <col min="5" max="5" width="10" style="18" bestFit="1" customWidth="1"/>
    <col min="6" max="6" width="13" style="18" bestFit="1" customWidth="1"/>
    <col min="7" max="7" width="10.42578125" style="18" bestFit="1" customWidth="1"/>
    <col min="8" max="8" width="9.140625" style="18"/>
    <col min="9" max="9" width="9.85546875" style="18" bestFit="1" customWidth="1"/>
    <col min="10" max="10" width="9.140625" style="18"/>
    <col min="11" max="11" width="9.140625" style="18" customWidth="1"/>
    <col min="12" max="13" width="9.140625" style="18"/>
    <col min="14" max="14" width="13" style="18" bestFit="1" customWidth="1"/>
    <col min="15" max="15" width="10.140625" style="18" bestFit="1" customWidth="1"/>
    <col min="16" max="16" width="13" style="18" bestFit="1" customWidth="1"/>
    <col min="17" max="17" width="12.85546875" style="18" bestFit="1" customWidth="1"/>
    <col min="18" max="18" width="9.85546875" style="18" bestFit="1" customWidth="1"/>
    <col min="19" max="19" width="13.140625" style="18" bestFit="1" customWidth="1"/>
    <col min="20" max="20" width="12.140625" style="18" bestFit="1" customWidth="1"/>
    <col min="21" max="21" width="13" style="18" bestFit="1" customWidth="1"/>
    <col min="22" max="22" width="10.42578125" style="18" bestFit="1" customWidth="1"/>
    <col min="23" max="23" width="9.140625" style="18"/>
    <col min="24" max="24" width="12.85546875" style="18" bestFit="1" customWidth="1"/>
    <col min="25" max="25" width="13" style="18" bestFit="1" customWidth="1"/>
    <col min="26" max="26" width="12.85546875" style="18" bestFit="1" customWidth="1"/>
    <col min="27" max="27" width="12" style="18" bestFit="1" customWidth="1"/>
    <col min="28" max="28" width="9.28515625" style="18" bestFit="1" customWidth="1"/>
    <col min="29" max="16384" width="9.140625" style="18"/>
  </cols>
  <sheetData>
    <row r="1" spans="1:33" x14ac:dyDescent="0.25">
      <c r="A1" s="21"/>
      <c r="B1" s="127" t="s">
        <v>6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65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7"/>
    </row>
    <row r="2" spans="1:33" x14ac:dyDescent="0.25">
      <c r="A2" s="22"/>
      <c r="B2" s="128" t="s">
        <v>20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68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  <c r="AF2" s="92"/>
      <c r="AG2" s="93"/>
    </row>
    <row r="3" spans="1:33" x14ac:dyDescent="0.25">
      <c r="A3" s="22"/>
      <c r="B3" s="126" t="s">
        <v>7</v>
      </c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69"/>
      <c r="P3" s="92"/>
      <c r="Q3" s="92"/>
      <c r="R3" s="92"/>
      <c r="S3" s="92"/>
      <c r="T3" s="92"/>
      <c r="U3" s="92"/>
      <c r="V3" s="92"/>
      <c r="W3" s="92"/>
      <c r="X3" s="92"/>
      <c r="Y3" s="92"/>
      <c r="Z3" s="92"/>
      <c r="AA3" s="92"/>
      <c r="AB3" s="92"/>
      <c r="AC3" s="92"/>
      <c r="AD3" s="92"/>
      <c r="AE3" s="92"/>
      <c r="AF3" s="92"/>
      <c r="AG3" s="93"/>
    </row>
    <row r="4" spans="1:33" x14ac:dyDescent="0.25">
      <c r="A4" s="22"/>
      <c r="B4" s="126" t="s">
        <v>11</v>
      </c>
      <c r="C4" s="126"/>
      <c r="D4" s="126"/>
      <c r="E4" s="126"/>
      <c r="F4" s="126"/>
      <c r="G4" s="126"/>
      <c r="H4" s="126"/>
      <c r="I4" s="126"/>
      <c r="J4" s="126"/>
      <c r="K4" s="126"/>
      <c r="L4" s="126"/>
      <c r="M4" s="126"/>
      <c r="N4" s="126"/>
      <c r="O4" s="2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3"/>
    </row>
    <row r="5" spans="1:33" x14ac:dyDescent="0.25">
      <c r="A5" s="22"/>
      <c r="B5" s="126" t="s">
        <v>19</v>
      </c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22"/>
      <c r="P5" s="92"/>
      <c r="Q5" s="92"/>
      <c r="R5" s="92"/>
      <c r="S5" s="92"/>
      <c r="T5" s="92"/>
      <c r="U5" s="92"/>
      <c r="V5" s="92"/>
      <c r="W5" s="92"/>
      <c r="X5" s="92"/>
      <c r="Y5" s="92"/>
      <c r="Z5" s="92"/>
      <c r="AA5" s="92"/>
      <c r="AB5" s="92"/>
      <c r="AC5" s="92"/>
      <c r="AD5" s="92"/>
      <c r="AE5" s="92"/>
      <c r="AF5" s="92"/>
      <c r="AG5" s="93"/>
    </row>
    <row r="6" spans="1:33" x14ac:dyDescent="0.25">
      <c r="A6" s="22"/>
      <c r="B6" s="125" t="s">
        <v>18</v>
      </c>
      <c r="C6" s="126"/>
      <c r="D6" s="126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2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  <c r="AA6" s="92"/>
      <c r="AB6" s="92"/>
      <c r="AC6" s="92"/>
      <c r="AD6" s="92"/>
      <c r="AE6" s="92"/>
      <c r="AF6" s="92"/>
      <c r="AG6" s="93"/>
    </row>
    <row r="7" spans="1:33" ht="15.75" thickBot="1" x14ac:dyDescent="0.3">
      <c r="A7" s="22"/>
      <c r="B7" s="91"/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2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3"/>
    </row>
    <row r="8" spans="1:33" ht="15.75" thickBot="1" x14ac:dyDescent="0.3">
      <c r="A8" s="22"/>
      <c r="B8" s="14" t="s">
        <v>21</v>
      </c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2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3"/>
    </row>
    <row r="9" spans="1:33" ht="15.75" thickBot="1" x14ac:dyDescent="0.3">
      <c r="A9" s="22"/>
      <c r="B9" s="121" t="s">
        <v>14</v>
      </c>
      <c r="C9" s="122"/>
      <c r="D9" s="122"/>
      <c r="E9" s="123"/>
      <c r="F9" s="91"/>
      <c r="G9" s="121" t="s">
        <v>12</v>
      </c>
      <c r="H9" s="122"/>
      <c r="I9" s="122"/>
      <c r="J9" s="122"/>
      <c r="K9" s="122"/>
      <c r="L9" s="122"/>
      <c r="M9" s="123"/>
      <c r="N9" s="91"/>
      <c r="O9" s="2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3"/>
    </row>
    <row r="10" spans="1:33" x14ac:dyDescent="0.25">
      <c r="A10" s="22"/>
      <c r="B10" s="91"/>
      <c r="C10" s="91"/>
      <c r="D10" s="91"/>
      <c r="E10" s="91"/>
      <c r="F10" s="91"/>
      <c r="G10" s="91"/>
      <c r="H10" s="91"/>
      <c r="I10" s="91"/>
      <c r="J10" s="91"/>
      <c r="K10" s="91"/>
      <c r="L10" s="91"/>
      <c r="M10" s="91"/>
      <c r="N10" s="91"/>
      <c r="O10" s="2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3"/>
    </row>
    <row r="11" spans="1:33" x14ac:dyDescent="0.25">
      <c r="A11" s="22"/>
      <c r="B11" s="124" t="s">
        <v>22</v>
      </c>
      <c r="C11" s="124"/>
      <c r="D11" s="124"/>
      <c r="E11" s="124"/>
      <c r="F11" s="91"/>
      <c r="G11" s="115" t="s">
        <v>15</v>
      </c>
      <c r="H11" s="116"/>
      <c r="I11" s="117"/>
      <c r="J11" s="91"/>
      <c r="K11" s="115" t="s">
        <v>16</v>
      </c>
      <c r="L11" s="116"/>
      <c r="M11" s="117"/>
      <c r="N11" s="92"/>
      <c r="O11" s="2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3"/>
    </row>
    <row r="12" spans="1:33" x14ac:dyDescent="0.25">
      <c r="A12" s="27"/>
      <c r="B12" s="9"/>
      <c r="C12" s="10" t="s">
        <v>0</v>
      </c>
      <c r="D12" s="10" t="s">
        <v>1</v>
      </c>
      <c r="E12" s="10" t="s">
        <v>4</v>
      </c>
      <c r="F12" s="91"/>
      <c r="G12" s="8" t="s">
        <v>0</v>
      </c>
      <c r="H12" s="8" t="s">
        <v>1</v>
      </c>
      <c r="I12" s="8" t="s">
        <v>4</v>
      </c>
      <c r="J12" s="91"/>
      <c r="K12" s="8" t="s">
        <v>2</v>
      </c>
      <c r="L12" s="8" t="s">
        <v>3</v>
      </c>
      <c r="M12" s="8" t="s">
        <v>5</v>
      </c>
      <c r="N12" s="92"/>
      <c r="O12" s="2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3"/>
    </row>
    <row r="13" spans="1:33" x14ac:dyDescent="0.25">
      <c r="A13" s="22"/>
      <c r="B13" s="1" t="s">
        <v>8</v>
      </c>
      <c r="C13" s="6">
        <v>-0.54604489204276685</v>
      </c>
      <c r="D13" s="6">
        <v>0.41012926041976627</v>
      </c>
      <c r="E13" s="6">
        <v>-0.73049912089032565</v>
      </c>
      <c r="F13" s="91"/>
      <c r="G13" s="15">
        <v>-72.599999999999994</v>
      </c>
      <c r="H13" s="15">
        <v>-123.2</v>
      </c>
      <c r="I13" s="15">
        <v>-41.5</v>
      </c>
      <c r="J13" s="92"/>
      <c r="K13" s="16">
        <f>($C$13*G13)+($D$13*H13)+($E$13*I13)</f>
        <v>19.430647795538178</v>
      </c>
      <c r="L13" s="16">
        <f>($C$14*G13)+($D$14*H13)+($E$14*I13)</f>
        <v>-124.24271591894237</v>
      </c>
      <c r="M13" s="16">
        <f>($C$15*G13)+($D$15*H13)+($E$15*I13)</f>
        <v>79.733603125224036</v>
      </c>
      <c r="N13" s="92"/>
      <c r="O13" s="22"/>
      <c r="P13" s="34"/>
      <c r="Q13" s="34"/>
      <c r="R13" s="34"/>
      <c r="S13" s="92"/>
      <c r="T13" s="92"/>
      <c r="U13" s="105" t="s">
        <v>27</v>
      </c>
      <c r="V13" s="105"/>
      <c r="W13" s="105"/>
      <c r="X13" s="92"/>
      <c r="Y13" s="92"/>
      <c r="Z13" s="105" t="s">
        <v>26</v>
      </c>
      <c r="AA13" s="105"/>
      <c r="AB13" s="105"/>
      <c r="AC13" s="92"/>
      <c r="AD13" s="92"/>
      <c r="AE13" s="92"/>
      <c r="AF13" s="92"/>
      <c r="AG13" s="93"/>
    </row>
    <row r="14" spans="1:33" x14ac:dyDescent="0.25">
      <c r="A14" s="22"/>
      <c r="B14" s="1" t="s">
        <v>9</v>
      </c>
      <c r="C14" s="6">
        <v>0.74492741158036579</v>
      </c>
      <c r="D14" s="6">
        <v>0.63665297600805792</v>
      </c>
      <c r="E14" s="6">
        <v>-0.19938941701168506</v>
      </c>
      <c r="F14" s="91"/>
      <c r="G14" s="15">
        <v>-152.4</v>
      </c>
      <c r="H14" s="15">
        <v>86.199999999999989</v>
      </c>
      <c r="I14" s="15">
        <v>80.599999999999994</v>
      </c>
      <c r="J14" s="92"/>
      <c r="K14" s="16">
        <f>($C$13*G14)+($D$13*H14)+($E$13*I14)</f>
        <v>59.692154651741284</v>
      </c>
      <c r="L14" s="16">
        <f t="shared" ref="L14:L16" si="0">($C$14*G14)+($D$14*H14)+($E$14*I14)</f>
        <v>-74.718238004094985</v>
      </c>
      <c r="M14" s="16">
        <f t="shared" ref="M14:M16" si="1">($C$15*G14)+($D$15*H14)+($E$15*I14)</f>
        <v>-167.35170026801643</v>
      </c>
      <c r="N14" s="92"/>
      <c r="O14" s="22"/>
      <c r="P14" s="34"/>
      <c r="Q14" s="34"/>
      <c r="R14" s="34"/>
      <c r="S14" s="70"/>
      <c r="T14" s="70"/>
      <c r="U14" s="32">
        <v>-0.19020200000000001</v>
      </c>
      <c r="V14" s="32">
        <v>0.69673300000000005</v>
      </c>
      <c r="W14" s="32">
        <v>0.69165500000000002</v>
      </c>
      <c r="X14" s="70"/>
      <c r="Y14" s="70"/>
      <c r="Z14" s="32">
        <v>0.45171099999999997</v>
      </c>
      <c r="AA14" s="32">
        <v>-0.80075499999999999</v>
      </c>
      <c r="AB14" s="32">
        <v>0.39338000000000001</v>
      </c>
      <c r="AC14" s="92"/>
      <c r="AD14" s="92"/>
      <c r="AE14" s="92"/>
      <c r="AF14" s="92"/>
      <c r="AG14" s="93"/>
    </row>
    <row r="15" spans="1:33" x14ac:dyDescent="0.25">
      <c r="A15" s="22"/>
      <c r="B15" s="1" t="s">
        <v>10</v>
      </c>
      <c r="C15" s="6">
        <v>0.38329900515156512</v>
      </c>
      <c r="D15" s="6">
        <v>-0.65304439197317876</v>
      </c>
      <c r="E15" s="6">
        <v>-0.65315763393089243</v>
      </c>
      <c r="F15" s="91"/>
      <c r="G15" s="15">
        <v>203.7</v>
      </c>
      <c r="H15" s="15">
        <v>202.4</v>
      </c>
      <c r="I15" s="15">
        <v>100.8</v>
      </c>
      <c r="J15" s="92"/>
      <c r="K15" s="16">
        <f t="shared" ref="K15:K16" si="2">($C$13*G15)+($D$13*H15)+($E$13*I15)</f>
        <v>-101.85349358589572</v>
      </c>
      <c r="L15" s="16">
        <f t="shared" si="0"/>
        <v>260.50182284817356</v>
      </c>
      <c r="M15" s="16">
        <f t="shared" si="1"/>
        <v>-119.93646708623154</v>
      </c>
      <c r="N15" s="92"/>
      <c r="O15" s="22"/>
      <c r="P15" s="34"/>
      <c r="Q15" s="34"/>
      <c r="R15" s="34"/>
      <c r="S15" s="70"/>
      <c r="T15" s="70"/>
      <c r="U15" s="32">
        <v>-0.90742299999999998</v>
      </c>
      <c r="V15" s="32">
        <v>-0.39366299999999999</v>
      </c>
      <c r="W15" s="32">
        <v>0.14701600000000001</v>
      </c>
      <c r="X15" s="70"/>
      <c r="Y15" s="70"/>
      <c r="Z15" s="32">
        <v>0.70823800000000003</v>
      </c>
      <c r="AA15" s="32">
        <v>5.3709E-2</v>
      </c>
      <c r="AB15" s="32">
        <v>-0.703928</v>
      </c>
      <c r="AC15" s="92"/>
      <c r="AD15" s="92"/>
      <c r="AE15" s="92"/>
      <c r="AF15" s="92"/>
      <c r="AG15" s="93"/>
    </row>
    <row r="16" spans="1:33" x14ac:dyDescent="0.25">
      <c r="A16" s="22"/>
      <c r="B16" s="91"/>
      <c r="C16" s="91"/>
      <c r="D16" s="91"/>
      <c r="E16" s="91"/>
      <c r="F16" s="91"/>
      <c r="G16" s="15">
        <v>223.8</v>
      </c>
      <c r="H16" s="15">
        <v>205.6</v>
      </c>
      <c r="I16" s="15">
        <v>180.8</v>
      </c>
      <c r="J16" s="91"/>
      <c r="K16" s="16">
        <f t="shared" si="2"/>
        <v>-169.95651195383817</v>
      </c>
      <c r="L16" s="16">
        <f t="shared" si="0"/>
        <v>261.56099998322992</v>
      </c>
      <c r="M16" s="16">
        <f t="shared" si="1"/>
        <v>-166.57450985147062</v>
      </c>
      <c r="N16" s="92"/>
      <c r="O16" s="22"/>
      <c r="P16" s="34"/>
      <c r="Q16" s="34"/>
      <c r="R16" s="34"/>
      <c r="S16" s="70"/>
      <c r="T16" s="70"/>
      <c r="U16" s="32">
        <v>0.37470999999999999</v>
      </c>
      <c r="V16" s="32">
        <v>-0.599661</v>
      </c>
      <c r="W16" s="32">
        <v>0.70710700000000004</v>
      </c>
      <c r="X16" s="70"/>
      <c r="Y16" s="70"/>
      <c r="Z16" s="32">
        <v>0.54254599999999997</v>
      </c>
      <c r="AA16" s="32">
        <v>0.59657899999999997</v>
      </c>
      <c r="AB16" s="32">
        <v>0.59138599999999997</v>
      </c>
      <c r="AC16" s="92"/>
      <c r="AD16" s="92"/>
      <c r="AE16" s="92"/>
      <c r="AF16" s="92"/>
      <c r="AG16" s="93"/>
    </row>
    <row r="17" spans="1:33" x14ac:dyDescent="0.25">
      <c r="A17" s="22"/>
      <c r="B17" s="91"/>
      <c r="C17" s="91"/>
      <c r="D17" s="91"/>
      <c r="E17" s="91"/>
      <c r="F17" s="91"/>
      <c r="G17" s="91"/>
      <c r="H17" s="92"/>
      <c r="I17" s="92"/>
      <c r="J17" s="92"/>
      <c r="K17" s="92"/>
      <c r="L17" s="92"/>
      <c r="M17" s="92"/>
      <c r="N17" s="92"/>
      <c r="O17" s="2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  <c r="AA17" s="92"/>
      <c r="AB17" s="92"/>
      <c r="AC17" s="92"/>
      <c r="AD17" s="92"/>
      <c r="AE17" s="92"/>
      <c r="AF17" s="92"/>
      <c r="AG17" s="93"/>
    </row>
    <row r="18" spans="1:33" ht="15.75" thickBot="1" x14ac:dyDescent="0.3">
      <c r="A18" s="22"/>
      <c r="B18" s="91"/>
      <c r="C18" s="91"/>
      <c r="D18" s="91"/>
      <c r="E18" s="91"/>
      <c r="F18" s="91"/>
      <c r="G18" s="91"/>
      <c r="H18" s="92"/>
      <c r="I18" s="92"/>
      <c r="J18" s="92"/>
      <c r="K18" s="92"/>
      <c r="L18" s="92"/>
      <c r="M18" s="92"/>
      <c r="N18" s="92"/>
      <c r="O18" s="2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  <c r="AA18" s="92"/>
      <c r="AB18" s="92"/>
      <c r="AC18" s="92"/>
      <c r="AD18" s="92"/>
      <c r="AE18" s="92"/>
      <c r="AF18" s="92"/>
      <c r="AG18" s="93"/>
    </row>
    <row r="19" spans="1:33" ht="15.75" thickBot="1" x14ac:dyDescent="0.3">
      <c r="A19" s="22"/>
      <c r="B19" s="92"/>
      <c r="C19" s="92"/>
      <c r="D19" s="92"/>
      <c r="E19" s="92"/>
      <c r="F19" s="92"/>
      <c r="G19" s="112" t="s">
        <v>13</v>
      </c>
      <c r="H19" s="113"/>
      <c r="I19" s="113"/>
      <c r="J19" s="113"/>
      <c r="K19" s="113"/>
      <c r="L19" s="113"/>
      <c r="M19" s="114"/>
      <c r="N19" s="64"/>
      <c r="O19" s="22"/>
      <c r="P19" s="92"/>
      <c r="Q19" s="92"/>
      <c r="R19" s="92"/>
      <c r="S19" s="92"/>
      <c r="T19" s="92"/>
      <c r="U19" s="36">
        <f t="array" ref="U19:W21">MMULT(Z14:AB16,U14:W16)</f>
        <v>0.78811058854299998</v>
      </c>
      <c r="V19" s="37">
        <v>0.39405493154800003</v>
      </c>
      <c r="W19" s="38">
        <v>0.47286612628499997</v>
      </c>
      <c r="X19" s="92"/>
      <c r="Y19" s="92"/>
      <c r="Z19" s="92"/>
      <c r="AA19" s="92"/>
      <c r="AB19" s="92"/>
      <c r="AC19" s="92"/>
      <c r="AD19" s="92"/>
      <c r="AE19" s="92"/>
      <c r="AF19" s="92"/>
      <c r="AG19" s="93"/>
    </row>
    <row r="20" spans="1:33" x14ac:dyDescent="0.25">
      <c r="A20" s="22"/>
      <c r="B20" s="91"/>
      <c r="C20" s="91"/>
      <c r="D20" s="91"/>
      <c r="E20" s="91"/>
      <c r="F20" s="91"/>
      <c r="G20" s="91"/>
      <c r="H20" s="92"/>
      <c r="I20" s="92"/>
      <c r="J20" s="92"/>
      <c r="K20" s="92"/>
      <c r="L20" s="92"/>
      <c r="M20" s="92"/>
      <c r="N20" s="92"/>
      <c r="O20" s="22"/>
      <c r="P20" s="92"/>
      <c r="Q20" s="92"/>
      <c r="R20" s="92"/>
      <c r="S20" s="92"/>
      <c r="T20" s="92"/>
      <c r="U20" s="39">
        <v>-0.44721392686300004</v>
      </c>
      <c r="V20" s="40">
        <v>0.894427708795</v>
      </c>
      <c r="W20" s="41">
        <v>1.9938000028751901E-8</v>
      </c>
      <c r="X20" s="92"/>
      <c r="Y20" s="92"/>
      <c r="Z20" s="92"/>
      <c r="AA20" s="92"/>
      <c r="AB20" s="92"/>
      <c r="AC20" s="92"/>
      <c r="AD20" s="92"/>
      <c r="AE20" s="92"/>
      <c r="AF20" s="92"/>
      <c r="AG20" s="93"/>
    </row>
    <row r="21" spans="1:33" ht="15.75" thickBot="1" x14ac:dyDescent="0.3">
      <c r="A21" s="22"/>
      <c r="B21" s="92"/>
      <c r="C21" s="92"/>
      <c r="D21" s="92"/>
      <c r="E21" s="92"/>
      <c r="F21" s="91"/>
      <c r="G21" s="115" t="s">
        <v>17</v>
      </c>
      <c r="H21" s="116"/>
      <c r="I21" s="117"/>
      <c r="J21" s="91"/>
      <c r="K21" s="115" t="s">
        <v>16</v>
      </c>
      <c r="L21" s="116"/>
      <c r="M21" s="117"/>
      <c r="N21" s="91"/>
      <c r="O21" s="118"/>
      <c r="P21" s="119"/>
      <c r="Q21" s="119"/>
      <c r="R21" s="92"/>
      <c r="S21" s="92"/>
      <c r="T21" s="92"/>
      <c r="U21" s="42">
        <v>-0.42294459214899993</v>
      </c>
      <c r="V21" s="43">
        <v>-0.21147249680499994</v>
      </c>
      <c r="W21" s="44">
        <v>0.88113449219600004</v>
      </c>
      <c r="X21" s="92"/>
      <c r="Y21" s="92"/>
      <c r="Z21" s="92"/>
      <c r="AA21" s="92"/>
      <c r="AB21" s="92"/>
      <c r="AC21" s="92"/>
      <c r="AD21" s="92"/>
      <c r="AE21" s="92"/>
      <c r="AF21" s="92"/>
      <c r="AG21" s="93"/>
    </row>
    <row r="22" spans="1:33" x14ac:dyDescent="0.25">
      <c r="A22" s="22"/>
      <c r="B22" s="17"/>
      <c r="C22" s="120" t="s">
        <v>23</v>
      </c>
      <c r="D22" s="120"/>
      <c r="E22" s="120"/>
      <c r="F22" s="91"/>
      <c r="G22" s="8" t="s">
        <v>0</v>
      </c>
      <c r="H22" s="8" t="s">
        <v>1</v>
      </c>
      <c r="I22" s="8" t="s">
        <v>4</v>
      </c>
      <c r="J22" s="91"/>
      <c r="K22" s="8" t="s">
        <v>2</v>
      </c>
      <c r="L22" s="8" t="s">
        <v>3</v>
      </c>
      <c r="M22" s="8" t="s">
        <v>5</v>
      </c>
      <c r="N22" s="91"/>
      <c r="O22" s="2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3"/>
    </row>
    <row r="23" spans="1:33" x14ac:dyDescent="0.25">
      <c r="A23" s="22"/>
      <c r="B23" s="92"/>
      <c r="C23" s="19">
        <f t="array" ref="C23:E25">MINVERSE(C13:E15)</f>
        <v>-0.54604489204276674</v>
      </c>
      <c r="D23" s="20">
        <v>0.74492741158036568</v>
      </c>
      <c r="E23" s="20">
        <v>0.38329900515156501</v>
      </c>
      <c r="F23" s="91"/>
      <c r="G23" s="16">
        <f>K13</f>
        <v>19.430647795538178</v>
      </c>
      <c r="H23" s="16">
        <f t="shared" ref="H23:I26" si="3">L13</f>
        <v>-124.24271591894237</v>
      </c>
      <c r="I23" s="16">
        <f t="shared" si="3"/>
        <v>79.733603125224036</v>
      </c>
      <c r="J23" s="92"/>
      <c r="K23" s="15">
        <f>($C$23*G23)+($D$23*H23)+($E$23*I23)</f>
        <v>-72.600000000000009</v>
      </c>
      <c r="L23" s="15">
        <f>($C$24*G23)+($D$24*H23)+($E$24*I23)</f>
        <v>-123.19999999999999</v>
      </c>
      <c r="M23" s="15">
        <f>($C$25*G23)+($D$25*H23)+($E$25*I23)</f>
        <v>-41.500000000000007</v>
      </c>
      <c r="N23" s="91"/>
      <c r="O23" s="2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3"/>
    </row>
    <row r="24" spans="1:33" x14ac:dyDescent="0.25">
      <c r="A24" s="22"/>
      <c r="B24" s="92"/>
      <c r="C24" s="20">
        <v>0.41012926041976633</v>
      </c>
      <c r="D24" s="20">
        <v>0.63665297600805781</v>
      </c>
      <c r="E24" s="20">
        <v>-0.65304439197317865</v>
      </c>
      <c r="F24" s="91"/>
      <c r="G24" s="16">
        <f t="shared" ref="G24:G26" si="4">K14</f>
        <v>59.692154651741284</v>
      </c>
      <c r="H24" s="16">
        <f t="shared" si="3"/>
        <v>-74.718238004094985</v>
      </c>
      <c r="I24" s="16">
        <f t="shared" si="3"/>
        <v>-167.35170026801643</v>
      </c>
      <c r="J24" s="92"/>
      <c r="K24" s="15">
        <f>($C$23*G24)+($D$23*H24)+($E$23*I24)</f>
        <v>-152.39999999999998</v>
      </c>
      <c r="L24" s="15">
        <f>($C$24*G24)+($D$24*H24)+($E$24*I24)</f>
        <v>86.19999999999996</v>
      </c>
      <c r="M24" s="15">
        <f>($C$25*G24)+($D$25*H24)+($E$25*I24)</f>
        <v>80.59999999999998</v>
      </c>
      <c r="N24" s="91"/>
      <c r="O24" s="2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3"/>
    </row>
    <row r="25" spans="1:33" x14ac:dyDescent="0.25">
      <c r="A25" s="22"/>
      <c r="B25" s="92"/>
      <c r="C25" s="20">
        <v>-0.73049912089032576</v>
      </c>
      <c r="D25" s="20">
        <v>-0.19938941701168514</v>
      </c>
      <c r="E25" s="20">
        <v>-0.65315763393089254</v>
      </c>
      <c r="F25" s="91"/>
      <c r="G25" s="16">
        <f t="shared" si="4"/>
        <v>-101.85349358589572</v>
      </c>
      <c r="H25" s="16">
        <f t="shared" si="3"/>
        <v>260.50182284817356</v>
      </c>
      <c r="I25" s="16">
        <f t="shared" si="3"/>
        <v>-119.93646708623154</v>
      </c>
      <c r="J25" s="92"/>
      <c r="K25" s="15">
        <f>($C$23*G25)+($D$23*H25)+($E$23*I25)</f>
        <v>203.7</v>
      </c>
      <c r="L25" s="15">
        <f>($C$24*G25)+($D$24*H25)+($E$24*I25)</f>
        <v>202.39999999999998</v>
      </c>
      <c r="M25" s="15">
        <f>($C$25*G25)+($D$25*H25)+($E$25*I25)</f>
        <v>100.80000000000003</v>
      </c>
      <c r="N25" s="91"/>
      <c r="O25" s="2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3"/>
    </row>
    <row r="26" spans="1:33" x14ac:dyDescent="0.25">
      <c r="A26" s="22"/>
      <c r="B26" s="91"/>
      <c r="C26" s="91"/>
      <c r="D26" s="91"/>
      <c r="E26" s="91"/>
      <c r="F26" s="91"/>
      <c r="G26" s="16">
        <f t="shared" si="4"/>
        <v>-169.95651195383817</v>
      </c>
      <c r="H26" s="16">
        <f t="shared" si="3"/>
        <v>261.56099998322992</v>
      </c>
      <c r="I26" s="16">
        <f t="shared" si="3"/>
        <v>-166.57450985147062</v>
      </c>
      <c r="J26" s="91"/>
      <c r="K26" s="15">
        <f>($C$23*G26)+($D$23*H26)+($E$23*I26)</f>
        <v>223.8</v>
      </c>
      <c r="L26" s="15">
        <f>($C$24*G26)+($D$24*H26)+($E24*I26)</f>
        <v>205.59999999999997</v>
      </c>
      <c r="M26" s="15">
        <f>($C$25*G26)+($D$25*H26)+($E$25*I26)</f>
        <v>180.8</v>
      </c>
      <c r="N26" s="91"/>
      <c r="O26" s="2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3"/>
    </row>
    <row r="27" spans="1:33" x14ac:dyDescent="0.25">
      <c r="A27" s="22"/>
      <c r="B27" s="91"/>
      <c r="C27" s="91"/>
      <c r="D27" s="91"/>
      <c r="E27" s="91"/>
      <c r="F27" s="91"/>
      <c r="G27" s="12"/>
      <c r="H27" s="12"/>
      <c r="I27" s="12"/>
      <c r="J27" s="91"/>
      <c r="K27" s="12"/>
      <c r="L27" s="12"/>
      <c r="M27" s="12"/>
      <c r="N27" s="91"/>
      <c r="O27" s="2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3"/>
    </row>
    <row r="28" spans="1:33" x14ac:dyDescent="0.25">
      <c r="A28" s="22"/>
      <c r="B28" s="92"/>
      <c r="C28" s="92"/>
      <c r="D28" s="92"/>
      <c r="E28" s="92"/>
      <c r="F28" s="92"/>
      <c r="G28" s="92">
        <v>0</v>
      </c>
      <c r="H28" s="92"/>
      <c r="I28" s="92"/>
      <c r="J28" s="92"/>
      <c r="K28" s="92"/>
      <c r="L28" s="92"/>
      <c r="M28" s="92"/>
      <c r="N28" s="92"/>
      <c r="O28" s="2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3"/>
    </row>
    <row r="29" spans="1:33" x14ac:dyDescent="0.25">
      <c r="A29" s="22"/>
      <c r="B29" s="92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2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3"/>
    </row>
    <row r="30" spans="1:33" x14ac:dyDescent="0.25">
      <c r="A30" s="22"/>
      <c r="B30" s="92"/>
      <c r="C30" s="92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2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3"/>
    </row>
    <row r="31" spans="1:33" x14ac:dyDescent="0.25">
      <c r="A31" s="22"/>
      <c r="B31" s="92"/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2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3"/>
    </row>
    <row r="32" spans="1:33" x14ac:dyDescent="0.25">
      <c r="A32" s="22"/>
      <c r="B32" s="92"/>
      <c r="C32" s="105" t="s">
        <v>24</v>
      </c>
      <c r="D32" s="105"/>
      <c r="E32" s="105"/>
      <c r="F32" s="92"/>
      <c r="G32" s="105" t="s">
        <v>25</v>
      </c>
      <c r="H32" s="105"/>
      <c r="I32" s="105"/>
      <c r="J32" s="92"/>
      <c r="K32" s="92"/>
      <c r="L32" s="92"/>
      <c r="M32" s="92"/>
      <c r="N32" s="92"/>
      <c r="O32" s="2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3"/>
    </row>
    <row r="33" spans="1:33" x14ac:dyDescent="0.25">
      <c r="A33" s="22"/>
      <c r="B33" s="92"/>
      <c r="C33" s="20">
        <f t="array" ref="C33:E35">TRANSPOSE(C13:E15)</f>
        <v>-0.54604489204276685</v>
      </c>
      <c r="D33" s="20">
        <v>0.74492741158036579</v>
      </c>
      <c r="E33" s="20">
        <v>0.38329900515156512</v>
      </c>
      <c r="F33" s="92"/>
      <c r="G33" s="20">
        <f t="array" ref="G33:I35">MMULT(C13:E15,C33:E35)</f>
        <v>1</v>
      </c>
      <c r="H33" s="20">
        <v>-8.3266726846886741E-17</v>
      </c>
      <c r="I33" s="20">
        <v>-5.5511151231257827E-17</v>
      </c>
      <c r="J33" s="92"/>
      <c r="K33" s="92"/>
      <c r="L33" s="92"/>
      <c r="M33" s="92"/>
      <c r="N33" s="92"/>
      <c r="O33" s="2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  <c r="AG33" s="93"/>
    </row>
    <row r="34" spans="1:33" x14ac:dyDescent="0.25">
      <c r="A34" s="22"/>
      <c r="B34" s="92"/>
      <c r="C34" s="20">
        <v>0.41012926041976627</v>
      </c>
      <c r="D34" s="20">
        <v>0.63665297600805792</v>
      </c>
      <c r="E34" s="20">
        <v>-0.65304439197317876</v>
      </c>
      <c r="F34" s="92"/>
      <c r="G34" s="20">
        <v>-8.3266726846886741E-17</v>
      </c>
      <c r="H34" s="20">
        <v>1</v>
      </c>
      <c r="I34" s="20">
        <v>-2.7755575615628914E-17</v>
      </c>
      <c r="J34" s="92"/>
      <c r="K34" s="92"/>
      <c r="L34" s="92"/>
      <c r="M34" s="92"/>
      <c r="N34" s="92"/>
      <c r="O34" s="22"/>
      <c r="P34" s="92"/>
      <c r="Q34" s="92"/>
      <c r="R34" s="34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92"/>
      <c r="AF34" s="92"/>
      <c r="AG34" s="93"/>
    </row>
    <row r="35" spans="1:33" x14ac:dyDescent="0.25">
      <c r="A35" s="22"/>
      <c r="B35" s="92"/>
      <c r="C35" s="20">
        <v>-0.73049912089032565</v>
      </c>
      <c r="D35" s="20">
        <v>-0.19938941701168506</v>
      </c>
      <c r="E35" s="20">
        <v>-0.65315763393089243</v>
      </c>
      <c r="F35" s="92"/>
      <c r="G35" s="20">
        <v>-5.5511151231257827E-17</v>
      </c>
      <c r="H35" s="20">
        <v>-2.7755575615628914E-17</v>
      </c>
      <c r="I35" s="20">
        <v>1</v>
      </c>
      <c r="J35" s="92"/>
      <c r="K35" s="92"/>
      <c r="L35" s="92"/>
      <c r="M35" s="92"/>
      <c r="N35" s="92"/>
      <c r="O35" s="22"/>
      <c r="P35" s="34"/>
      <c r="Q35" s="34"/>
      <c r="R35" s="34"/>
      <c r="S35" s="92"/>
      <c r="T35" s="92"/>
      <c r="U35" s="105" t="s">
        <v>27</v>
      </c>
      <c r="V35" s="105"/>
      <c r="W35" s="105"/>
      <c r="X35" s="92"/>
      <c r="Y35" s="92"/>
      <c r="Z35" s="105" t="s">
        <v>26</v>
      </c>
      <c r="AA35" s="105"/>
      <c r="AB35" s="105"/>
      <c r="AC35" s="92"/>
      <c r="AD35" s="92"/>
      <c r="AE35" s="105" t="s">
        <v>28</v>
      </c>
      <c r="AF35" s="105"/>
      <c r="AG35" s="110"/>
    </row>
    <row r="36" spans="1:33" ht="15.75" thickBot="1" x14ac:dyDescent="0.3">
      <c r="A36" s="29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22"/>
      <c r="P36" s="34"/>
      <c r="Q36" s="34"/>
      <c r="R36" s="34"/>
      <c r="S36" s="70"/>
      <c r="T36" s="70"/>
      <c r="U36" s="32">
        <v>-0.19020200000000001</v>
      </c>
      <c r="V36" s="32">
        <v>0.69673300000000005</v>
      </c>
      <c r="W36" s="32">
        <v>0.69165500000000002</v>
      </c>
      <c r="X36" s="70"/>
      <c r="Y36" s="70"/>
      <c r="Z36" s="32">
        <v>0.45171099999999997</v>
      </c>
      <c r="AA36" s="32">
        <v>-0.80075499999999999</v>
      </c>
      <c r="AB36" s="32">
        <v>0.39338000000000001</v>
      </c>
      <c r="AC36" s="92"/>
      <c r="AD36" s="92"/>
      <c r="AE36" s="32">
        <v>0.60336500000000004</v>
      </c>
      <c r="AF36" s="32">
        <v>0.446515</v>
      </c>
      <c r="AG36" s="71">
        <v>0.66073800000000005</v>
      </c>
    </row>
    <row r="37" spans="1:33" x14ac:dyDescent="0.25">
      <c r="O37" s="22"/>
      <c r="P37" s="34"/>
      <c r="Q37" s="34"/>
      <c r="R37" s="34"/>
      <c r="S37" s="70"/>
      <c r="T37" s="70"/>
      <c r="U37" s="32">
        <v>-0.90742299999999998</v>
      </c>
      <c r="V37" s="32">
        <v>-0.39366299999999999</v>
      </c>
      <c r="W37" s="32">
        <v>0.14701600000000001</v>
      </c>
      <c r="X37" s="70"/>
      <c r="Y37" s="70"/>
      <c r="Z37" s="32">
        <v>0.70823800000000003</v>
      </c>
      <c r="AA37" s="32">
        <v>5.3709E-2</v>
      </c>
      <c r="AB37" s="32">
        <v>-0.703928</v>
      </c>
      <c r="AC37" s="92"/>
      <c r="AD37" s="92"/>
      <c r="AE37" s="32">
        <v>-0.66570300000000004</v>
      </c>
      <c r="AF37" s="32">
        <v>-0.174176</v>
      </c>
      <c r="AG37" s="71">
        <v>0.72560500000000006</v>
      </c>
    </row>
    <row r="38" spans="1:33" x14ac:dyDescent="0.25">
      <c r="O38" s="22"/>
      <c r="P38" s="34"/>
      <c r="Q38" s="34"/>
      <c r="R38" s="34"/>
      <c r="S38" s="70"/>
      <c r="T38" s="70"/>
      <c r="U38" s="32">
        <v>0.37470999999999999</v>
      </c>
      <c r="V38" s="32">
        <v>-0.599661</v>
      </c>
      <c r="W38" s="32">
        <v>0.70710700000000004</v>
      </c>
      <c r="X38" s="70"/>
      <c r="Y38" s="70"/>
      <c r="Z38" s="32">
        <v>0.54254599999999997</v>
      </c>
      <c r="AA38" s="32">
        <v>0.59657899999999997</v>
      </c>
      <c r="AB38" s="32">
        <v>0.59138599999999997</v>
      </c>
      <c r="AC38" s="92"/>
      <c r="AD38" s="92"/>
      <c r="AE38" s="32">
        <v>0.43907800000000002</v>
      </c>
      <c r="AF38" s="32">
        <v>-0.87766</v>
      </c>
      <c r="AG38" s="71">
        <v>0.19215499999999999</v>
      </c>
    </row>
    <row r="39" spans="1:33" x14ac:dyDescent="0.25">
      <c r="O39" s="2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3"/>
    </row>
    <row r="40" spans="1:33" ht="15.75" thickBot="1" x14ac:dyDescent="0.3">
      <c r="O40" s="22"/>
      <c r="P40" s="92"/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3"/>
    </row>
    <row r="41" spans="1:33" x14ac:dyDescent="0.25">
      <c r="O41" s="22"/>
      <c r="P41" s="92"/>
      <c r="Q41" s="92"/>
      <c r="R41" s="92"/>
      <c r="S41" s="92"/>
      <c r="T41" s="92"/>
      <c r="U41" s="36">
        <f t="array" ref="U41:W43">MMULT(Z41:AB43,U36:W38)</f>
        <v>-3.6249452243311969E-3</v>
      </c>
      <c r="V41" s="37">
        <v>0.49740642757211651</v>
      </c>
      <c r="W41" s="38">
        <v>0.86750992129316584</v>
      </c>
      <c r="X41" s="92"/>
      <c r="Y41" s="92"/>
      <c r="Z41" s="36">
        <f t="array" ref="Z41:AB43">MMULT(AE36:AG38,Z36:AB38)</f>
        <v>0.94726625703300005</v>
      </c>
      <c r="AA41" s="37">
        <v>-6.498325113800002E-2</v>
      </c>
      <c r="AB41" s="38">
        <v>0.31378851564800003</v>
      </c>
      <c r="AC41" s="92"/>
      <c r="AD41" s="92"/>
      <c r="AE41" s="92"/>
      <c r="AF41" s="92"/>
      <c r="AG41" s="93"/>
    </row>
    <row r="42" spans="1:33" x14ac:dyDescent="0.25">
      <c r="O42" s="22"/>
      <c r="P42" s="92"/>
      <c r="Q42" s="92"/>
      <c r="R42" s="92"/>
      <c r="S42" s="92"/>
      <c r="T42" s="92"/>
      <c r="U42" s="39">
        <v>-0.75364436098582599</v>
      </c>
      <c r="V42" s="40">
        <v>-0.57155689174756819</v>
      </c>
      <c r="W42" s="41">
        <v>0.32456719087085417</v>
      </c>
      <c r="X42" s="92"/>
      <c r="Y42" s="92"/>
      <c r="Z42" s="39">
        <v>-3.038933939099997E-2</v>
      </c>
      <c r="AA42" s="40">
        <v>0.95659089227600003</v>
      </c>
      <c r="AB42" s="41">
        <v>0.28984575571799998</v>
      </c>
      <c r="AC42" s="92"/>
      <c r="AD42" s="92"/>
      <c r="AE42" s="92"/>
      <c r="AF42" s="92"/>
      <c r="AG42" s="93"/>
    </row>
    <row r="43" spans="1:33" ht="15.75" thickBot="1" x14ac:dyDescent="0.3">
      <c r="O43" s="29"/>
      <c r="P43" s="30"/>
      <c r="Q43" s="30"/>
      <c r="R43" s="30"/>
      <c r="S43" s="30"/>
      <c r="T43" s="30"/>
      <c r="U43" s="42">
        <v>0.6572728779424728</v>
      </c>
      <c r="V43" s="43">
        <v>-0.65261806929035171</v>
      </c>
      <c r="W43" s="44">
        <v>0.37693949384610254</v>
      </c>
      <c r="X43" s="30"/>
      <c r="Y43" s="30"/>
      <c r="Z43" s="42">
        <v>-0.319002873992</v>
      </c>
      <c r="AA43" s="43">
        <v>-0.28409650708500001</v>
      </c>
      <c r="AB43" s="44">
        <v>0.90417172894999998</v>
      </c>
      <c r="AC43" s="30"/>
      <c r="AD43" s="30"/>
      <c r="AE43" s="30"/>
      <c r="AF43" s="30"/>
      <c r="AG43" s="31"/>
    </row>
    <row r="45" spans="1:33" x14ac:dyDescent="0.25">
      <c r="N45" s="92"/>
      <c r="O45" s="92"/>
      <c r="P45" s="92"/>
      <c r="Q45" s="92"/>
      <c r="R45" s="92"/>
      <c r="S45" s="92"/>
      <c r="T45" s="92"/>
      <c r="U45" s="92"/>
      <c r="V45" s="92"/>
      <c r="W45" s="92"/>
      <c r="X45" s="92"/>
      <c r="Y45" s="92"/>
      <c r="Z45" s="92"/>
    </row>
    <row r="46" spans="1:33" x14ac:dyDescent="0.25"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</row>
    <row r="47" spans="1:33" x14ac:dyDescent="0.25">
      <c r="N47" s="92"/>
      <c r="O47" s="92"/>
      <c r="P47" s="92"/>
      <c r="Q47" s="92"/>
      <c r="R47" s="92"/>
      <c r="S47" s="92"/>
      <c r="T47" s="92"/>
      <c r="U47" s="92"/>
      <c r="V47" s="92"/>
      <c r="W47" s="92"/>
      <c r="X47" s="92"/>
      <c r="Y47" s="92"/>
      <c r="Z47" s="92"/>
    </row>
    <row r="48" spans="1:33" x14ac:dyDescent="0.25">
      <c r="N48" s="47"/>
      <c r="O48" s="47"/>
      <c r="P48" s="47"/>
      <c r="Q48" s="92"/>
      <c r="R48" s="92"/>
      <c r="S48" s="34"/>
      <c r="T48" s="34"/>
      <c r="U48" s="53"/>
      <c r="V48" s="92"/>
      <c r="W48" s="92"/>
      <c r="X48" s="92"/>
      <c r="Y48" s="92"/>
      <c r="Z48" s="92"/>
    </row>
    <row r="50" spans="4:24" x14ac:dyDescent="0.25">
      <c r="S50" s="47"/>
      <c r="T50" s="47"/>
      <c r="U50" s="47"/>
      <c r="V50" s="47"/>
      <c r="W50" s="47"/>
      <c r="X50" s="47"/>
    </row>
    <row r="51" spans="4:24" x14ac:dyDescent="0.25">
      <c r="S51" s="47"/>
      <c r="T51" s="47"/>
      <c r="U51" s="47"/>
      <c r="V51" s="47"/>
      <c r="W51" s="47"/>
      <c r="X51" s="47"/>
    </row>
    <row r="52" spans="4:24" x14ac:dyDescent="0.25">
      <c r="S52" s="47"/>
      <c r="T52" s="47"/>
      <c r="U52" s="47"/>
      <c r="V52" s="47"/>
      <c r="W52" s="47"/>
      <c r="X52" s="47"/>
    </row>
    <row r="53" spans="4:24" x14ac:dyDescent="0.25">
      <c r="D53" s="105" t="s">
        <v>35</v>
      </c>
      <c r="E53" s="105"/>
      <c r="F53" s="105"/>
      <c r="G53" s="75" t="s">
        <v>30</v>
      </c>
      <c r="I53" s="105" t="s">
        <v>34</v>
      </c>
      <c r="J53" s="105"/>
      <c r="K53" s="105"/>
      <c r="L53" s="75" t="s">
        <v>31</v>
      </c>
      <c r="N53" s="111" t="s">
        <v>36</v>
      </c>
      <c r="O53" s="111"/>
      <c r="P53" s="111"/>
      <c r="Q53" s="75" t="s">
        <v>32</v>
      </c>
      <c r="S53" s="75" t="s">
        <v>37</v>
      </c>
      <c r="T53" s="47"/>
      <c r="U53" s="47"/>
      <c r="V53" s="47"/>
      <c r="W53" s="47"/>
      <c r="X53" s="47"/>
    </row>
    <row r="54" spans="4:24" x14ac:dyDescent="0.25">
      <c r="D54" s="52">
        <v>-0.19020200000000001</v>
      </c>
      <c r="E54" s="52">
        <v>0.69673300000000005</v>
      </c>
      <c r="F54" s="52">
        <v>0.69165500000000002</v>
      </c>
      <c r="G54" s="72">
        <v>-72.599999999999994</v>
      </c>
      <c r="H54" s="33"/>
      <c r="I54" s="52">
        <v>0.45171099999999997</v>
      </c>
      <c r="J54" s="52">
        <v>-0.80075499999999999</v>
      </c>
      <c r="K54" s="52">
        <v>0.39338000000000001</v>
      </c>
      <c r="L54" s="72">
        <v>245.525057</v>
      </c>
      <c r="N54" s="52">
        <v>0.60336500000000004</v>
      </c>
      <c r="O54" s="52">
        <v>0.446515</v>
      </c>
      <c r="P54" s="52">
        <v>0.66073800000000005</v>
      </c>
      <c r="Q54" s="74">
        <v>335.98722800000002</v>
      </c>
      <c r="S54" s="76">
        <v>70.919628000000003</v>
      </c>
      <c r="T54" s="47"/>
      <c r="U54" s="47"/>
      <c r="V54" s="47"/>
      <c r="W54" s="47"/>
      <c r="X54" s="47"/>
    </row>
    <row r="55" spans="4:24" x14ac:dyDescent="0.25">
      <c r="D55" s="52">
        <v>-0.90742299999999998</v>
      </c>
      <c r="E55" s="52">
        <v>-0.39366299999999999</v>
      </c>
      <c r="F55" s="52">
        <v>0.14701600000000001</v>
      </c>
      <c r="G55" s="72">
        <v>-123.2</v>
      </c>
      <c r="H55" s="33"/>
      <c r="I55" s="52">
        <v>0.70823800000000003</v>
      </c>
      <c r="J55" s="52">
        <v>5.3709E-2</v>
      </c>
      <c r="K55" s="52">
        <v>-0.703928</v>
      </c>
      <c r="L55" s="72">
        <v>7.9299629999999999</v>
      </c>
      <c r="N55" s="52">
        <v>-0.66570300000000004</v>
      </c>
      <c r="O55" s="52">
        <v>-0.174176</v>
      </c>
      <c r="P55" s="52">
        <v>0.72560500000000006</v>
      </c>
      <c r="Q55" s="74">
        <v>-55.320321999999997</v>
      </c>
      <c r="S55" s="76">
        <v>8.9881049999999991</v>
      </c>
      <c r="T55" s="47"/>
      <c r="U55" s="47"/>
      <c r="V55" s="47"/>
      <c r="W55" s="47"/>
      <c r="X55" s="47"/>
    </row>
    <row r="56" spans="4:24" x14ac:dyDescent="0.25">
      <c r="D56" s="52">
        <v>0.37470999999999999</v>
      </c>
      <c r="E56" s="52">
        <v>-0.599661</v>
      </c>
      <c r="F56" s="52">
        <v>0.70710700000000004</v>
      </c>
      <c r="G56" s="72">
        <v>-41.5</v>
      </c>
      <c r="H56" s="33"/>
      <c r="I56" s="52">
        <v>0.54254599999999997</v>
      </c>
      <c r="J56" s="52">
        <v>0.59657899999999997</v>
      </c>
      <c r="K56" s="52">
        <v>0.59138599999999997</v>
      </c>
      <c r="L56" s="72">
        <v>-69.133002000000005</v>
      </c>
      <c r="N56" s="52">
        <v>0.43907800000000002</v>
      </c>
      <c r="O56" s="52">
        <v>-0.87766</v>
      </c>
      <c r="P56" s="52">
        <v>0.19215499999999999</v>
      </c>
      <c r="Q56" s="74">
        <v>-157.38467</v>
      </c>
      <c r="S56" s="76">
        <v>41.277965000000002</v>
      </c>
      <c r="T56" s="47"/>
      <c r="U56" s="47"/>
      <c r="V56" s="47"/>
      <c r="W56" s="47"/>
      <c r="X56" s="47"/>
    </row>
    <row r="57" spans="4:24" x14ac:dyDescent="0.25">
      <c r="D57" s="50">
        <v>0</v>
      </c>
      <c r="E57" s="50">
        <v>0</v>
      </c>
      <c r="F57" s="50">
        <v>0</v>
      </c>
      <c r="G57" s="88">
        <v>1</v>
      </c>
      <c r="H57" s="33"/>
      <c r="I57" s="50">
        <v>0</v>
      </c>
      <c r="J57" s="50">
        <v>0</v>
      </c>
      <c r="K57" s="50">
        <v>0</v>
      </c>
      <c r="L57" s="88">
        <v>1</v>
      </c>
      <c r="N57" s="50"/>
      <c r="O57" s="50"/>
      <c r="P57" s="50"/>
      <c r="Q57" s="76"/>
      <c r="S57" s="76"/>
      <c r="T57" s="47"/>
      <c r="U57" s="47"/>
      <c r="V57" s="47"/>
      <c r="W57" s="47"/>
      <c r="X57" s="47"/>
    </row>
    <row r="58" spans="4:24" ht="15.75" thickBot="1" x14ac:dyDescent="0.3">
      <c r="D58" s="56"/>
      <c r="E58" s="56"/>
      <c r="F58" s="56"/>
      <c r="G58" s="56"/>
      <c r="H58" s="47"/>
      <c r="I58" s="56"/>
      <c r="J58" s="56"/>
      <c r="K58" s="56"/>
      <c r="L58" s="56"/>
      <c r="M58" s="47"/>
      <c r="N58" s="56"/>
      <c r="O58" s="56"/>
      <c r="P58" s="56"/>
      <c r="Q58" s="47"/>
      <c r="S58" s="47"/>
      <c r="T58" s="47"/>
      <c r="U58" s="47"/>
      <c r="V58" s="47"/>
      <c r="W58" s="47"/>
      <c r="X58" s="47"/>
    </row>
    <row r="59" spans="4:24" ht="15.75" thickBot="1" x14ac:dyDescent="0.3">
      <c r="D59" s="106" t="s">
        <v>33</v>
      </c>
      <c r="E59" s="106"/>
      <c r="F59" s="106"/>
      <c r="G59" s="47"/>
      <c r="H59" s="47"/>
      <c r="I59" s="107" t="s">
        <v>38</v>
      </c>
      <c r="J59" s="108"/>
      <c r="K59" s="109"/>
      <c r="L59" s="47"/>
      <c r="M59" s="47"/>
      <c r="N59" s="47"/>
      <c r="O59" s="47"/>
      <c r="S59" s="47"/>
      <c r="T59" s="47"/>
      <c r="U59" s="47"/>
      <c r="V59" s="47"/>
      <c r="W59" s="47"/>
      <c r="X59" s="47"/>
    </row>
    <row r="60" spans="4:24" x14ac:dyDescent="0.25">
      <c r="D60" s="73">
        <f t="array" ref="D60:F62">MMULT(N54:P56,I54:K56)</f>
        <v>0.94726625703300005</v>
      </c>
      <c r="E60" s="73">
        <v>-6.498325113800002E-2</v>
      </c>
      <c r="F60" s="73">
        <v>0.31378851564800003</v>
      </c>
      <c r="G60" s="47"/>
      <c r="H60" s="47"/>
      <c r="I60" s="81">
        <f t="array" ref="I60:K62">MMULT(D60:F62,D54:F56)</f>
        <v>-3.6249452243311969E-3</v>
      </c>
      <c r="J60" s="80">
        <v>0.49740642757211651</v>
      </c>
      <c r="K60" s="82">
        <v>0.86750992129316584</v>
      </c>
      <c r="L60" s="47"/>
      <c r="M60" s="47">
        <v>1</v>
      </c>
      <c r="N60" s="47">
        <v>0</v>
      </c>
      <c r="O60" s="47">
        <v>0</v>
      </c>
      <c r="P60" s="72">
        <v>245.525057</v>
      </c>
      <c r="Q60" s="54"/>
      <c r="R60" s="54"/>
      <c r="S60" s="47"/>
      <c r="T60" s="47"/>
      <c r="U60" s="47"/>
      <c r="V60" s="47"/>
      <c r="W60" s="47"/>
      <c r="X60" s="47"/>
    </row>
    <row r="61" spans="4:24" x14ac:dyDescent="0.25">
      <c r="D61" s="1">
        <v>-3.038933939099997E-2</v>
      </c>
      <c r="E61" s="1">
        <v>0.95659089227600003</v>
      </c>
      <c r="F61" s="1">
        <v>0.28984575571799998</v>
      </c>
      <c r="I61" s="83">
        <v>-0.75364436098582599</v>
      </c>
      <c r="J61" s="77">
        <v>-0.57155689174756819</v>
      </c>
      <c r="K61" s="84">
        <v>0.32456719087085417</v>
      </c>
      <c r="M61" s="18">
        <v>0</v>
      </c>
      <c r="N61" s="18">
        <v>1</v>
      </c>
      <c r="O61" s="18">
        <v>0</v>
      </c>
      <c r="P61" s="72">
        <v>7.9299629999999999</v>
      </c>
    </row>
    <row r="62" spans="4:24" ht="15.75" thickBot="1" x14ac:dyDescent="0.3">
      <c r="D62" s="1">
        <v>-0.319002873992</v>
      </c>
      <c r="E62" s="1">
        <v>-0.28409650708500001</v>
      </c>
      <c r="F62" s="1">
        <v>0.90417172894999998</v>
      </c>
      <c r="I62" s="85">
        <v>0.6572728779424728</v>
      </c>
      <c r="J62" s="86">
        <v>-0.65261806929035171</v>
      </c>
      <c r="K62" s="87">
        <v>0.37693949384610254</v>
      </c>
      <c r="M62" s="18">
        <v>0</v>
      </c>
      <c r="N62" s="18">
        <v>0</v>
      </c>
      <c r="O62" s="18">
        <v>1</v>
      </c>
      <c r="P62" s="72">
        <v>-69.133002000000005</v>
      </c>
    </row>
    <row r="63" spans="4:24" x14ac:dyDescent="0.25">
      <c r="M63" s="18">
        <v>0</v>
      </c>
      <c r="N63" s="18">
        <v>0</v>
      </c>
      <c r="O63" s="18">
        <v>0</v>
      </c>
      <c r="P63" s="88">
        <v>1</v>
      </c>
    </row>
    <row r="65" spans="4:22" x14ac:dyDescent="0.25">
      <c r="D65" s="105" t="s">
        <v>40</v>
      </c>
      <c r="E65" s="105"/>
      <c r="F65" s="105"/>
      <c r="I65" s="105" t="s">
        <v>41</v>
      </c>
      <c r="J65" s="105"/>
      <c r="K65" s="105"/>
      <c r="N65" s="105" t="s">
        <v>39</v>
      </c>
      <c r="O65" s="105"/>
      <c r="P65" s="105"/>
    </row>
    <row r="66" spans="4:22" x14ac:dyDescent="0.25">
      <c r="D66" s="1">
        <f t="array" ref="D66:F68">TRANSPOSE(D54:F56)</f>
        <v>-0.19020200000000001</v>
      </c>
      <c r="E66" s="1">
        <v>-0.90742299999999998</v>
      </c>
      <c r="F66" s="1">
        <v>0.37470999999999999</v>
      </c>
      <c r="I66" s="1">
        <f t="array" ref="I66:K68">TRANSPOSE(I54:K56)</f>
        <v>0.45171099999999997</v>
      </c>
      <c r="J66" s="1">
        <v>0.70823800000000003</v>
      </c>
      <c r="K66" s="1">
        <v>0.54254599999999997</v>
      </c>
      <c r="N66" s="1">
        <f t="array" ref="N66:P68">TRANSPOSE(N54:P56)</f>
        <v>0.60336500000000004</v>
      </c>
      <c r="O66" s="1">
        <v>-0.66570300000000004</v>
      </c>
      <c r="P66" s="1">
        <v>0.43907800000000002</v>
      </c>
    </row>
    <row r="67" spans="4:22" x14ac:dyDescent="0.25">
      <c r="D67" s="1">
        <v>0.69673300000000005</v>
      </c>
      <c r="E67" s="1">
        <v>-0.39366299999999999</v>
      </c>
      <c r="F67" s="1">
        <v>-0.599661</v>
      </c>
      <c r="I67" s="1">
        <v>-0.80075499999999999</v>
      </c>
      <c r="J67" s="1">
        <v>5.3709E-2</v>
      </c>
      <c r="K67" s="1">
        <v>0.59657899999999997</v>
      </c>
      <c r="N67" s="1">
        <v>0.446515</v>
      </c>
      <c r="O67" s="1">
        <v>-0.174176</v>
      </c>
      <c r="P67" s="1">
        <v>-0.87766</v>
      </c>
    </row>
    <row r="68" spans="4:22" x14ac:dyDescent="0.25">
      <c r="D68" s="1">
        <v>0.69165500000000002</v>
      </c>
      <c r="E68" s="1">
        <v>0.14701600000000001</v>
      </c>
      <c r="F68" s="1">
        <v>0.70710700000000004</v>
      </c>
      <c r="I68" s="1">
        <v>0.39338000000000001</v>
      </c>
      <c r="J68" s="1">
        <v>-0.703928</v>
      </c>
      <c r="K68" s="1">
        <v>0.59138599999999997</v>
      </c>
      <c r="N68" s="1">
        <v>0.66073800000000005</v>
      </c>
      <c r="O68" s="1">
        <v>0.72560500000000006</v>
      </c>
      <c r="P68" s="1">
        <v>0.19215499999999999</v>
      </c>
    </row>
    <row r="71" spans="4:22" x14ac:dyDescent="0.25">
      <c r="E71" s="18" t="s">
        <v>47</v>
      </c>
      <c r="G71" s="18" t="s">
        <v>46</v>
      </c>
      <c r="J71" s="75" t="s">
        <v>45</v>
      </c>
      <c r="L71" s="18" t="s">
        <v>44</v>
      </c>
      <c r="O71" s="75" t="s">
        <v>43</v>
      </c>
      <c r="Q71" s="75" t="s">
        <v>42</v>
      </c>
    </row>
    <row r="72" spans="4:22" x14ac:dyDescent="0.25">
      <c r="E72" s="78">
        <f>G54+G72</f>
        <v>223.80006305145892</v>
      </c>
      <c r="G72" s="18">
        <f>D66*J72+E66*J73+F66*J74</f>
        <v>296.40006305145891</v>
      </c>
      <c r="J72" s="18">
        <f>L54+L72</f>
        <v>326.46464488951665</v>
      </c>
      <c r="L72" s="18">
        <f>I66*O72+J66*O73+K66*O74</f>
        <v>80.939587889516616</v>
      </c>
      <c r="O72" s="18">
        <f>Q54+Q72</f>
        <v>390.91848720167502</v>
      </c>
      <c r="Q72" s="18">
        <f>N66*S54+O66*S55+P66*S56</f>
        <v>54.931259201675012</v>
      </c>
    </row>
    <row r="73" spans="4:22" x14ac:dyDescent="0.25">
      <c r="E73" s="78">
        <f>G55+G73</f>
        <v>205.59988565383361</v>
      </c>
      <c r="G73" s="18">
        <f>D67*J72+E67*J73+F67*J74</f>
        <v>328.7998856538336</v>
      </c>
      <c r="J73" s="18">
        <f>L55+L73</f>
        <v>-365.71465226656204</v>
      </c>
      <c r="L73" s="18">
        <f>I67*O72+J67*O73+K67*O74</f>
        <v>-373.64461526656203</v>
      </c>
      <c r="O73" s="18">
        <f>Q55+Q73</f>
        <v>-61.447175241959997</v>
      </c>
      <c r="Q73" s="18">
        <f>N67*S54+O67*S55+P67*S56</f>
        <v>-6.1268532419599993</v>
      </c>
    </row>
    <row r="74" spans="4:22" x14ac:dyDescent="0.25">
      <c r="E74" s="78">
        <f>G56+G74</f>
        <v>180.79997182688254</v>
      </c>
      <c r="G74" s="18">
        <f>D68*J72+E68*J73+F68*J74</f>
        <v>222.29997182688254</v>
      </c>
      <c r="J74" s="18">
        <f>L56+L74</f>
        <v>71.085384791049677</v>
      </c>
      <c r="L74" s="18">
        <f>I68*O72+J68*O73+K68*O74</f>
        <v>140.21838679104968</v>
      </c>
      <c r="O74" s="18">
        <f>Q56+Q74</f>
        <v>-96.071795541435989</v>
      </c>
      <c r="Q74" s="18">
        <f>N68*S54+O68*S55+P68*S56</f>
        <v>61.312874458564004</v>
      </c>
    </row>
    <row r="77" spans="4:22" x14ac:dyDescent="0.25">
      <c r="D77" s="18" t="s">
        <v>48</v>
      </c>
      <c r="I77" s="18" t="s">
        <v>49</v>
      </c>
      <c r="N77" s="18" t="s">
        <v>50</v>
      </c>
      <c r="S77" s="18" t="s">
        <v>51</v>
      </c>
    </row>
    <row r="78" spans="4:22" x14ac:dyDescent="0.25">
      <c r="D78" s="48">
        <f>D54</f>
        <v>-0.19020200000000001</v>
      </c>
      <c r="E78" s="48">
        <f t="shared" ref="E78:F78" si="5">E54</f>
        <v>0.69673300000000005</v>
      </c>
      <c r="F78" s="48">
        <f t="shared" si="5"/>
        <v>0.69165500000000002</v>
      </c>
      <c r="G78" s="48">
        <v>0</v>
      </c>
      <c r="I78" s="89">
        <v>1</v>
      </c>
      <c r="J78" s="89">
        <v>0</v>
      </c>
      <c r="K78" s="89">
        <v>0</v>
      </c>
      <c r="L78" s="89">
        <f>G54</f>
        <v>-72.599999999999994</v>
      </c>
      <c r="N78" s="48">
        <f>I54</f>
        <v>0.45171099999999997</v>
      </c>
      <c r="O78" s="48">
        <f t="shared" ref="O78:P81" si="6">J54</f>
        <v>-0.80075499999999999</v>
      </c>
      <c r="P78" s="48">
        <f t="shared" si="6"/>
        <v>0.39338000000000001</v>
      </c>
      <c r="Q78" s="48">
        <v>0</v>
      </c>
      <c r="S78" s="89">
        <v>1</v>
      </c>
      <c r="T78" s="89">
        <v>0</v>
      </c>
      <c r="U78" s="89">
        <v>0</v>
      </c>
      <c r="V78" s="89">
        <f>L54</f>
        <v>245.525057</v>
      </c>
    </row>
    <row r="79" spans="4:22" x14ac:dyDescent="0.25">
      <c r="D79" s="48">
        <f t="shared" ref="D79:F80" si="7">D55</f>
        <v>-0.90742299999999998</v>
      </c>
      <c r="E79" s="48">
        <f t="shared" si="7"/>
        <v>-0.39366299999999999</v>
      </c>
      <c r="F79" s="48">
        <f t="shared" si="7"/>
        <v>0.14701600000000001</v>
      </c>
      <c r="G79" s="48">
        <v>0</v>
      </c>
      <c r="I79" s="89">
        <v>0</v>
      </c>
      <c r="J79" s="89">
        <v>1</v>
      </c>
      <c r="K79" s="89">
        <v>0</v>
      </c>
      <c r="L79" s="89">
        <f t="shared" ref="L79:L80" si="8">G55</f>
        <v>-123.2</v>
      </c>
      <c r="N79" s="48">
        <f t="shared" ref="N79:N81" si="9">I55</f>
        <v>0.70823800000000003</v>
      </c>
      <c r="O79" s="48">
        <f t="shared" si="6"/>
        <v>5.3709E-2</v>
      </c>
      <c r="P79" s="48">
        <f t="shared" si="6"/>
        <v>-0.703928</v>
      </c>
      <c r="Q79" s="48">
        <v>0</v>
      </c>
      <c r="S79" s="89">
        <v>0</v>
      </c>
      <c r="T79" s="89">
        <v>1</v>
      </c>
      <c r="U79" s="89">
        <v>0</v>
      </c>
      <c r="V79" s="89">
        <f t="shared" ref="V79:V80" si="10">L55</f>
        <v>7.9299629999999999</v>
      </c>
    </row>
    <row r="80" spans="4:22" x14ac:dyDescent="0.25">
      <c r="D80" s="48">
        <f t="shared" si="7"/>
        <v>0.37470999999999999</v>
      </c>
      <c r="E80" s="48">
        <f t="shared" si="7"/>
        <v>-0.599661</v>
      </c>
      <c r="F80" s="48">
        <f t="shared" si="7"/>
        <v>0.70710700000000004</v>
      </c>
      <c r="G80" s="48">
        <v>0</v>
      </c>
      <c r="I80" s="89">
        <v>0</v>
      </c>
      <c r="J80" s="89">
        <v>0</v>
      </c>
      <c r="K80" s="89">
        <v>1</v>
      </c>
      <c r="L80" s="89">
        <f t="shared" si="8"/>
        <v>-41.5</v>
      </c>
      <c r="N80" s="48">
        <f t="shared" si="9"/>
        <v>0.54254599999999997</v>
      </c>
      <c r="O80" s="48">
        <f t="shared" si="6"/>
        <v>0.59657899999999997</v>
      </c>
      <c r="P80" s="48">
        <f t="shared" si="6"/>
        <v>0.59138599999999997</v>
      </c>
      <c r="Q80" s="48">
        <v>0</v>
      </c>
      <c r="S80" s="89">
        <v>0</v>
      </c>
      <c r="T80" s="89">
        <v>0</v>
      </c>
      <c r="U80" s="89">
        <v>1</v>
      </c>
      <c r="V80" s="89">
        <f t="shared" si="10"/>
        <v>-69.133002000000005</v>
      </c>
    </row>
    <row r="81" spans="4:27" x14ac:dyDescent="0.25">
      <c r="D81" s="48">
        <v>0</v>
      </c>
      <c r="E81" s="48">
        <v>0</v>
      </c>
      <c r="F81" s="48">
        <v>0</v>
      </c>
      <c r="G81" s="48">
        <v>1</v>
      </c>
      <c r="I81" s="89">
        <v>0</v>
      </c>
      <c r="J81" s="89">
        <v>0</v>
      </c>
      <c r="K81" s="89">
        <v>0</v>
      </c>
      <c r="L81" s="89">
        <v>1</v>
      </c>
      <c r="N81" s="48">
        <f t="shared" si="9"/>
        <v>0</v>
      </c>
      <c r="O81" s="48">
        <f t="shared" si="6"/>
        <v>0</v>
      </c>
      <c r="P81" s="48">
        <f t="shared" si="6"/>
        <v>0</v>
      </c>
      <c r="Q81" s="48">
        <v>1</v>
      </c>
      <c r="S81" s="89">
        <v>0</v>
      </c>
      <c r="T81" s="89">
        <v>0</v>
      </c>
      <c r="U81" s="89">
        <v>0</v>
      </c>
      <c r="V81" s="89">
        <v>1</v>
      </c>
    </row>
    <row r="82" spans="4:27" x14ac:dyDescent="0.25">
      <c r="D82" s="133" t="s">
        <v>54</v>
      </c>
      <c r="E82" s="133"/>
      <c r="F82" s="133"/>
      <c r="G82" s="133"/>
      <c r="H82" s="133"/>
      <c r="I82" s="133"/>
      <c r="J82" s="133"/>
      <c r="K82" s="133"/>
      <c r="L82" s="133"/>
      <c r="M82" s="133"/>
      <c r="N82" s="133"/>
      <c r="O82" s="133"/>
      <c r="P82" s="133"/>
      <c r="Q82" s="133"/>
      <c r="R82" s="133"/>
      <c r="S82" s="133"/>
      <c r="T82" s="133"/>
      <c r="U82" s="133"/>
      <c r="V82" s="133"/>
    </row>
    <row r="83" spans="4:27" x14ac:dyDescent="0.25">
      <c r="D83" s="18" t="s">
        <v>57</v>
      </c>
      <c r="I83" s="18" t="s">
        <v>56</v>
      </c>
    </row>
    <row r="84" spans="4:27" x14ac:dyDescent="0.25">
      <c r="D84" s="90">
        <f t="array" ref="D84:G87">TRANSPOSE(D78:G81)</f>
        <v>-0.19020200000000001</v>
      </c>
      <c r="E84" s="90">
        <v>-0.90742299999999998</v>
      </c>
      <c r="F84" s="90">
        <v>0.37470999999999999</v>
      </c>
      <c r="G84" s="90">
        <v>0</v>
      </c>
      <c r="I84" s="18">
        <f t="array" ref="I84:L87">MMULT(D84:G87,S78:V81)</f>
        <v>-0.19020200000000001</v>
      </c>
      <c r="J84" s="18">
        <v>-0.90742299999999998</v>
      </c>
      <c r="K84" s="18">
        <v>0.37470999999999999</v>
      </c>
      <c r="L84" s="18">
        <v>-79.800014886282995</v>
      </c>
      <c r="N84" s="18">
        <f t="array" ref="N84:Q87">MMULT(I78:L81,I84:L87)</f>
        <v>-0.19020200000000001</v>
      </c>
      <c r="O84" s="18">
        <v>-0.90742299999999998</v>
      </c>
      <c r="P84" s="18">
        <v>0.37470999999999999</v>
      </c>
      <c r="Q84" s="18">
        <v>-152.40001488628297</v>
      </c>
      <c r="S84" s="98">
        <f t="array" ref="S84:V87">MMULT(N84:Q87,D78:G81)</f>
        <v>1.0000008858329998</v>
      </c>
      <c r="T84" s="98">
        <v>-1.2292700002358714E-7</v>
      </c>
      <c r="U84" s="98">
        <v>1.998920000079174E-7</v>
      </c>
      <c r="V84" s="98">
        <v>-152.40001488628297</v>
      </c>
    </row>
    <row r="85" spans="4:27" x14ac:dyDescent="0.25">
      <c r="D85" s="90">
        <v>0.69673300000000005</v>
      </c>
      <c r="E85" s="90">
        <v>-0.39366299999999999</v>
      </c>
      <c r="F85" s="90">
        <v>-0.599661</v>
      </c>
      <c r="G85" s="90">
        <v>0</v>
      </c>
      <c r="I85" s="18">
        <v>0.69673300000000005</v>
      </c>
      <c r="J85" s="18">
        <v>-0.39366299999999999</v>
      </c>
      <c r="K85" s="18">
        <v>-0.599661</v>
      </c>
      <c r="L85" s="18">
        <v>209.40004162663402</v>
      </c>
      <c r="N85" s="18">
        <v>0.69673300000000005</v>
      </c>
      <c r="O85" s="18">
        <v>-0.39366299999999999</v>
      </c>
      <c r="P85" s="18">
        <v>-0.599661</v>
      </c>
      <c r="Q85" s="18">
        <v>86.200041626634018</v>
      </c>
      <c r="S85" s="98">
        <v>-1.2292700002358714E-7</v>
      </c>
      <c r="T85" s="98">
        <v>1.0000007457790001</v>
      </c>
      <c r="U85" s="98">
        <v>-3.872200000087922E-7</v>
      </c>
      <c r="V85" s="98">
        <v>86.200041626634018</v>
      </c>
    </row>
    <row r="86" spans="4:27" x14ac:dyDescent="0.25">
      <c r="D86" s="90">
        <v>0.69165500000000002</v>
      </c>
      <c r="E86" s="90">
        <v>0.14701600000000001</v>
      </c>
      <c r="F86" s="90">
        <v>0.70710700000000004</v>
      </c>
      <c r="G86" s="90">
        <v>0</v>
      </c>
      <c r="I86" s="18">
        <v>0.69165500000000002</v>
      </c>
      <c r="J86" s="18">
        <v>0.14701600000000001</v>
      </c>
      <c r="K86" s="18">
        <v>0.70710700000000004</v>
      </c>
      <c r="L86" s="18">
        <v>122.10003509452901</v>
      </c>
      <c r="N86" s="18">
        <v>0.69165500000000002</v>
      </c>
      <c r="O86" s="18">
        <v>0.14701600000000001</v>
      </c>
      <c r="P86" s="18">
        <v>0.70710700000000004</v>
      </c>
      <c r="Q86" s="18">
        <v>80.600035094529005</v>
      </c>
      <c r="S86" s="98">
        <v>1.998920000079174E-7</v>
      </c>
      <c r="T86" s="98">
        <v>-3.872200000087922E-7</v>
      </c>
      <c r="U86" s="98">
        <v>1.0000006527300001</v>
      </c>
      <c r="V86" s="98">
        <v>80.600035094529005</v>
      </c>
    </row>
    <row r="87" spans="4:27" x14ac:dyDescent="0.25">
      <c r="D87" s="90">
        <v>0</v>
      </c>
      <c r="E87" s="90">
        <v>0</v>
      </c>
      <c r="F87" s="90">
        <v>0</v>
      </c>
      <c r="G87" s="90">
        <v>1</v>
      </c>
      <c r="I87" s="18">
        <v>0</v>
      </c>
      <c r="J87" s="18">
        <v>0</v>
      </c>
      <c r="K87" s="18">
        <v>0</v>
      </c>
      <c r="L87" s="18">
        <v>1</v>
      </c>
      <c r="N87" s="18">
        <v>0</v>
      </c>
      <c r="O87" s="18">
        <v>0</v>
      </c>
      <c r="P87" s="18">
        <v>0</v>
      </c>
      <c r="Q87" s="18">
        <v>1</v>
      </c>
      <c r="S87" s="98">
        <v>0</v>
      </c>
      <c r="T87" s="98">
        <v>0</v>
      </c>
      <c r="U87" s="98">
        <v>0</v>
      </c>
      <c r="V87" s="98">
        <v>1</v>
      </c>
    </row>
    <row r="89" spans="4:27" x14ac:dyDescent="0.25">
      <c r="S89" s="99">
        <f t="array" ref="S89:V92">MMULT(S84:V87,N78:Q81)</f>
        <v>0.45171142152954258</v>
      </c>
      <c r="T89" s="99">
        <v>-0.80075559668612062</v>
      </c>
      <c r="U89" s="99">
        <v>0.39338055321407306</v>
      </c>
      <c r="V89" s="99">
        <v>-152.40001488628297</v>
      </c>
    </row>
    <row r="90" spans="4:27" x14ac:dyDescent="0.25">
      <c r="D90" s="98"/>
      <c r="E90" s="98"/>
      <c r="F90" s="98"/>
      <c r="G90" s="98"/>
      <c r="S90" s="99">
        <v>0.70823826257688738</v>
      </c>
      <c r="T90" s="99">
        <v>5.3708907482133833E-2</v>
      </c>
      <c r="U90" s="99">
        <v>-0.70392880232823019</v>
      </c>
      <c r="V90" s="99">
        <v>86.200041626634018</v>
      </c>
    </row>
    <row r="91" spans="4:27" x14ac:dyDescent="0.25">
      <c r="D91" s="98"/>
      <c r="E91" s="98"/>
      <c r="F91" s="98"/>
      <c r="G91" s="98"/>
      <c r="S91" s="99">
        <v>0.54254617018554741</v>
      </c>
      <c r="T91" s="99">
        <v>0.59657920854329316</v>
      </c>
      <c r="U91" s="99">
        <v>0.5913867372238989</v>
      </c>
      <c r="V91" s="99">
        <v>80.600035094529005</v>
      </c>
    </row>
    <row r="92" spans="4:27" x14ac:dyDescent="0.25">
      <c r="D92" s="98"/>
      <c r="E92" s="98"/>
      <c r="F92" s="98"/>
      <c r="G92" s="98"/>
      <c r="S92" s="99">
        <v>0</v>
      </c>
      <c r="T92" s="99">
        <v>0</v>
      </c>
      <c r="U92" s="99">
        <v>0</v>
      </c>
      <c r="V92" s="99">
        <v>1</v>
      </c>
    </row>
    <row r="93" spans="4:27" x14ac:dyDescent="0.25">
      <c r="D93" s="98"/>
      <c r="E93" s="98"/>
      <c r="F93" s="98"/>
      <c r="G93" s="98"/>
    </row>
    <row r="94" spans="4:27" x14ac:dyDescent="0.25">
      <c r="S94" s="97">
        <f t="array" ref="S94:V97">MMULT(S89:V92,D78:G81)</f>
        <v>0.78811125710879282</v>
      </c>
      <c r="T94" s="97">
        <v>0.39405512839388679</v>
      </c>
      <c r="U94" s="97">
        <v>0.47286672129715263</v>
      </c>
      <c r="V94" s="97">
        <v>-152.40001488628297</v>
      </c>
    </row>
    <row r="95" spans="4:27" x14ac:dyDescent="0.25">
      <c r="S95" s="97">
        <v>-0.44721419349322061</v>
      </c>
      <c r="T95" s="97">
        <v>0.89442840928679213</v>
      </c>
      <c r="U95" s="97">
        <v>-3.7938289743078002E-7</v>
      </c>
      <c r="V95" s="97">
        <v>86.200041626634018</v>
      </c>
      <c r="X95" s="95"/>
      <c r="Y95" s="95"/>
      <c r="Z95" s="95"/>
      <c r="AA95" s="95"/>
    </row>
    <row r="96" spans="4:27" x14ac:dyDescent="0.25">
      <c r="S96" s="97">
        <v>-0.42294453751044503</v>
      </c>
      <c r="T96" s="97">
        <v>-0.21147290241131178</v>
      </c>
      <c r="U96" s="97">
        <v>0.88113516186106522</v>
      </c>
      <c r="V96" s="97">
        <v>80.600035094529005</v>
      </c>
      <c r="X96" s="95"/>
      <c r="Y96" s="95"/>
      <c r="Z96" s="95"/>
      <c r="AA96" s="95"/>
    </row>
    <row r="97" spans="4:27" x14ac:dyDescent="0.25">
      <c r="S97" s="97">
        <v>0</v>
      </c>
      <c r="T97" s="97">
        <v>0</v>
      </c>
      <c r="U97" s="97">
        <v>0</v>
      </c>
      <c r="V97" s="97">
        <v>1</v>
      </c>
      <c r="X97" s="95"/>
      <c r="Y97" s="95"/>
      <c r="Z97" s="95"/>
      <c r="AA97" s="95"/>
    </row>
    <row r="98" spans="4:27" x14ac:dyDescent="0.25">
      <c r="X98" s="95"/>
      <c r="Y98" s="95"/>
      <c r="Z98" s="95"/>
      <c r="AA98" s="95"/>
    </row>
    <row r="99" spans="4:27" x14ac:dyDescent="0.25">
      <c r="D99" s="133" t="s">
        <v>55</v>
      </c>
      <c r="E99" s="134"/>
      <c r="F99" s="134"/>
      <c r="G99" s="134"/>
      <c r="H99" s="134"/>
      <c r="I99" s="134"/>
      <c r="J99" s="134"/>
      <c r="K99" s="134"/>
      <c r="L99" s="134"/>
      <c r="M99" s="134"/>
      <c r="N99" s="134"/>
      <c r="O99" s="134"/>
      <c r="P99" s="134"/>
      <c r="Q99" s="134"/>
      <c r="R99" s="134"/>
      <c r="S99" s="134"/>
      <c r="T99" s="134"/>
      <c r="U99" s="134"/>
      <c r="V99" s="134"/>
    </row>
    <row r="100" spans="4:27" x14ac:dyDescent="0.25">
      <c r="N100" s="94"/>
      <c r="O100" s="94"/>
      <c r="P100" s="94"/>
      <c r="Q100" s="94"/>
    </row>
    <row r="101" spans="4:27" x14ac:dyDescent="0.25">
      <c r="N101" s="94"/>
      <c r="O101" s="94"/>
      <c r="P101" s="94"/>
      <c r="Q101" s="94"/>
    </row>
    <row r="102" spans="4:27" x14ac:dyDescent="0.25">
      <c r="N102" s="103"/>
      <c r="O102" s="103"/>
      <c r="P102" s="103"/>
      <c r="Q102" s="103"/>
      <c r="S102" s="104"/>
      <c r="T102" s="104"/>
      <c r="U102" s="104"/>
      <c r="V102" s="104"/>
    </row>
    <row r="103" spans="4:27" x14ac:dyDescent="0.25">
      <c r="N103" s="103"/>
      <c r="O103" s="103"/>
      <c r="P103" s="103"/>
      <c r="Q103" s="103"/>
      <c r="S103" s="104"/>
      <c r="T103" s="104"/>
      <c r="U103" s="104"/>
      <c r="V103" s="104"/>
    </row>
    <row r="104" spans="4:27" x14ac:dyDescent="0.25">
      <c r="N104" s="103"/>
      <c r="O104" s="103"/>
      <c r="P104" s="103"/>
      <c r="Q104" s="103"/>
      <c r="S104" s="104"/>
      <c r="T104" s="104"/>
      <c r="U104" s="104"/>
      <c r="V104" s="104"/>
    </row>
    <row r="105" spans="4:27" x14ac:dyDescent="0.25">
      <c r="N105" s="103"/>
      <c r="O105" s="103"/>
      <c r="P105" s="103"/>
      <c r="Q105" s="103"/>
      <c r="S105" s="104"/>
      <c r="T105" s="104"/>
      <c r="U105" s="104"/>
      <c r="V105" s="104"/>
    </row>
  </sheetData>
  <mergeCells count="33">
    <mergeCell ref="AE35:AG35"/>
    <mergeCell ref="D99:V99"/>
    <mergeCell ref="D59:F59"/>
    <mergeCell ref="I59:K59"/>
    <mergeCell ref="D65:F65"/>
    <mergeCell ref="I65:K65"/>
    <mergeCell ref="N65:P65"/>
    <mergeCell ref="D82:V82"/>
    <mergeCell ref="D53:F53"/>
    <mergeCell ref="I53:K53"/>
    <mergeCell ref="N53:P53"/>
    <mergeCell ref="Z13:AB13"/>
    <mergeCell ref="G19:M19"/>
    <mergeCell ref="G21:I21"/>
    <mergeCell ref="K21:M21"/>
    <mergeCell ref="O21:Q21"/>
    <mergeCell ref="C22:E22"/>
    <mergeCell ref="U13:W13"/>
    <mergeCell ref="C32:E32"/>
    <mergeCell ref="G32:I32"/>
    <mergeCell ref="U35:W35"/>
    <mergeCell ref="Z35:AB35"/>
    <mergeCell ref="B9:E9"/>
    <mergeCell ref="G9:M9"/>
    <mergeCell ref="B11:E11"/>
    <mergeCell ref="G11:I11"/>
    <mergeCell ref="K11:M11"/>
    <mergeCell ref="B6:N6"/>
    <mergeCell ref="B1:N1"/>
    <mergeCell ref="B2:N2"/>
    <mergeCell ref="B3:N3"/>
    <mergeCell ref="B4:N4"/>
    <mergeCell ref="B5:N5"/>
  </mergeCells>
  <hyperlinks>
    <hyperlink ref="B6" r:id="rId1"/>
  </hyperlinks>
  <pageMargins left="0.7" right="0.7" top="0.75" bottom="0.75" header="0.3" footer="0.3"/>
  <pageSetup orientation="portrait" r:id="rId2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5"/>
  <dimension ref="A1:AG105"/>
  <sheetViews>
    <sheetView tabSelected="1" topLeftCell="A40" zoomScale="85" zoomScaleNormal="85" workbookViewId="0">
      <selection activeCell="S94" sqref="S94:V97"/>
    </sheetView>
  </sheetViews>
  <sheetFormatPr defaultRowHeight="15" x14ac:dyDescent="0.25"/>
  <cols>
    <col min="1" max="1" width="9.140625" style="18"/>
    <col min="2" max="2" width="9.85546875" style="18" bestFit="1" customWidth="1"/>
    <col min="3" max="3" width="9.7109375" style="18" bestFit="1" customWidth="1"/>
    <col min="4" max="4" width="10.28515625" style="18" bestFit="1" customWidth="1"/>
    <col min="5" max="5" width="10" style="18" bestFit="1" customWidth="1"/>
    <col min="6" max="6" width="13" style="18" bestFit="1" customWidth="1"/>
    <col min="7" max="7" width="10.42578125" style="18" bestFit="1" customWidth="1"/>
    <col min="8" max="8" width="9.140625" style="18"/>
    <col min="9" max="9" width="9.85546875" style="18" bestFit="1" customWidth="1"/>
    <col min="10" max="10" width="9.140625" style="18"/>
    <col min="11" max="11" width="9.140625" style="18" customWidth="1"/>
    <col min="12" max="13" width="9.140625" style="18"/>
    <col min="14" max="14" width="13.140625" style="18" bestFit="1" customWidth="1"/>
    <col min="15" max="15" width="11.85546875" style="18" bestFit="1" customWidth="1"/>
    <col min="16" max="16" width="13.140625" style="18" bestFit="1" customWidth="1"/>
    <col min="17" max="17" width="12.85546875" style="18" bestFit="1" customWidth="1"/>
    <col min="18" max="18" width="9.85546875" style="18" bestFit="1" customWidth="1"/>
    <col min="19" max="19" width="13.140625" style="18" bestFit="1" customWidth="1"/>
    <col min="20" max="20" width="12.140625" style="18" bestFit="1" customWidth="1"/>
    <col min="21" max="21" width="13" style="18" bestFit="1" customWidth="1"/>
    <col min="22" max="22" width="10.42578125" style="18" bestFit="1" customWidth="1"/>
    <col min="23" max="23" width="9.140625" style="18"/>
    <col min="24" max="24" width="12.85546875" style="18" bestFit="1" customWidth="1"/>
    <col min="25" max="25" width="13" style="18" bestFit="1" customWidth="1"/>
    <col min="26" max="26" width="12.85546875" style="18" bestFit="1" customWidth="1"/>
    <col min="27" max="27" width="12" style="18" bestFit="1" customWidth="1"/>
    <col min="28" max="28" width="9.28515625" style="18" bestFit="1" customWidth="1"/>
    <col min="29" max="16384" width="9.140625" style="18"/>
  </cols>
  <sheetData>
    <row r="1" spans="1:33" x14ac:dyDescent="0.25">
      <c r="A1" s="21"/>
      <c r="B1" s="127" t="s">
        <v>6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65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7"/>
    </row>
    <row r="2" spans="1:33" x14ac:dyDescent="0.25">
      <c r="A2" s="22"/>
      <c r="B2" s="128" t="s">
        <v>20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68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2"/>
    </row>
    <row r="3" spans="1:33" x14ac:dyDescent="0.25">
      <c r="A3" s="22"/>
      <c r="B3" s="126" t="s">
        <v>7</v>
      </c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69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2"/>
    </row>
    <row r="4" spans="1:33" x14ac:dyDescent="0.25">
      <c r="A4" s="22"/>
      <c r="B4" s="126" t="s">
        <v>11</v>
      </c>
      <c r="C4" s="126"/>
      <c r="D4" s="126"/>
      <c r="E4" s="126"/>
      <c r="F4" s="126"/>
      <c r="G4" s="126"/>
      <c r="H4" s="126"/>
      <c r="I4" s="126"/>
      <c r="J4" s="126"/>
      <c r="K4" s="126"/>
      <c r="L4" s="126"/>
      <c r="M4" s="126"/>
      <c r="N4" s="126"/>
      <c r="O4" s="22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2"/>
    </row>
    <row r="5" spans="1:33" x14ac:dyDescent="0.25">
      <c r="A5" s="22"/>
      <c r="B5" s="126" t="s">
        <v>19</v>
      </c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22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2"/>
    </row>
    <row r="6" spans="1:33" x14ac:dyDescent="0.25">
      <c r="A6" s="22"/>
      <c r="B6" s="125" t="s">
        <v>18</v>
      </c>
      <c r="C6" s="126"/>
      <c r="D6" s="126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22"/>
      <c r="P6" s="101"/>
      <c r="Q6" s="101"/>
      <c r="R6" s="101"/>
      <c r="S6" s="101"/>
      <c r="T6" s="101"/>
      <c r="U6" s="101"/>
      <c r="V6" s="101"/>
      <c r="W6" s="101"/>
      <c r="X6" s="101"/>
      <c r="Y6" s="101"/>
      <c r="Z6" s="101"/>
      <c r="AA6" s="101"/>
      <c r="AB6" s="101"/>
      <c r="AC6" s="101"/>
      <c r="AD6" s="101"/>
      <c r="AE6" s="101"/>
      <c r="AF6" s="101"/>
      <c r="AG6" s="102"/>
    </row>
    <row r="7" spans="1:33" ht="15.75" thickBot="1" x14ac:dyDescent="0.3">
      <c r="A7" s="22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22"/>
      <c r="P7" s="101"/>
      <c r="Q7" s="101"/>
      <c r="R7" s="101"/>
      <c r="S7" s="101"/>
      <c r="T7" s="101"/>
      <c r="U7" s="101"/>
      <c r="V7" s="101"/>
      <c r="W7" s="101"/>
      <c r="X7" s="101"/>
      <c r="Y7" s="101"/>
      <c r="Z7" s="101"/>
      <c r="AA7" s="101"/>
      <c r="AB7" s="101"/>
      <c r="AC7" s="101"/>
      <c r="AD7" s="101"/>
      <c r="AE7" s="101"/>
      <c r="AF7" s="101"/>
      <c r="AG7" s="102"/>
    </row>
    <row r="8" spans="1:33" ht="15.75" thickBot="1" x14ac:dyDescent="0.3">
      <c r="A8" s="22"/>
      <c r="B8" s="14" t="s">
        <v>21</v>
      </c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22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2"/>
    </row>
    <row r="9" spans="1:33" ht="15.75" thickBot="1" x14ac:dyDescent="0.3">
      <c r="A9" s="22"/>
      <c r="B9" s="121" t="s">
        <v>14</v>
      </c>
      <c r="C9" s="122"/>
      <c r="D9" s="122"/>
      <c r="E9" s="123"/>
      <c r="F9" s="100"/>
      <c r="G9" s="121" t="s">
        <v>12</v>
      </c>
      <c r="H9" s="122"/>
      <c r="I9" s="122"/>
      <c r="J9" s="122"/>
      <c r="K9" s="122"/>
      <c r="L9" s="122"/>
      <c r="M9" s="123"/>
      <c r="N9" s="100"/>
      <c r="O9" s="22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2"/>
    </row>
    <row r="10" spans="1:33" x14ac:dyDescent="0.25">
      <c r="A10" s="22"/>
      <c r="B10" s="100"/>
      <c r="C10" s="100"/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N10" s="100"/>
      <c r="O10" s="22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01"/>
      <c r="AD10" s="101"/>
      <c r="AE10" s="101"/>
      <c r="AF10" s="101"/>
      <c r="AG10" s="102"/>
    </row>
    <row r="11" spans="1:33" x14ac:dyDescent="0.25">
      <c r="A11" s="22"/>
      <c r="B11" s="124" t="s">
        <v>22</v>
      </c>
      <c r="C11" s="124"/>
      <c r="D11" s="124"/>
      <c r="E11" s="124"/>
      <c r="F11" s="100"/>
      <c r="G11" s="115" t="s">
        <v>15</v>
      </c>
      <c r="H11" s="116"/>
      <c r="I11" s="117"/>
      <c r="J11" s="100"/>
      <c r="K11" s="115" t="s">
        <v>16</v>
      </c>
      <c r="L11" s="116"/>
      <c r="M11" s="117"/>
      <c r="N11" s="101"/>
      <c r="O11" s="22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  <c r="AD11" s="101"/>
      <c r="AE11" s="101"/>
      <c r="AF11" s="101"/>
      <c r="AG11" s="102"/>
    </row>
    <row r="12" spans="1:33" x14ac:dyDescent="0.25">
      <c r="A12" s="27"/>
      <c r="B12" s="9"/>
      <c r="C12" s="10" t="s">
        <v>0</v>
      </c>
      <c r="D12" s="10" t="s">
        <v>1</v>
      </c>
      <c r="E12" s="10" t="s">
        <v>4</v>
      </c>
      <c r="F12" s="100"/>
      <c r="G12" s="8" t="s">
        <v>0</v>
      </c>
      <c r="H12" s="8" t="s">
        <v>1</v>
      </c>
      <c r="I12" s="8" t="s">
        <v>4</v>
      </c>
      <c r="J12" s="100"/>
      <c r="K12" s="8" t="s">
        <v>2</v>
      </c>
      <c r="L12" s="8" t="s">
        <v>3</v>
      </c>
      <c r="M12" s="8" t="s">
        <v>5</v>
      </c>
      <c r="N12" s="101"/>
      <c r="O12" s="22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101"/>
      <c r="AE12" s="101"/>
      <c r="AF12" s="101"/>
      <c r="AG12" s="102"/>
    </row>
    <row r="13" spans="1:33" x14ac:dyDescent="0.25">
      <c r="A13" s="22"/>
      <c r="B13" s="1" t="s">
        <v>8</v>
      </c>
      <c r="C13" s="6">
        <v>-0.54604489204276685</v>
      </c>
      <c r="D13" s="6">
        <v>0.41012926041976627</v>
      </c>
      <c r="E13" s="6">
        <v>-0.73049912089032565</v>
      </c>
      <c r="F13" s="100"/>
      <c r="G13" s="15">
        <v>-72.599999999999994</v>
      </c>
      <c r="H13" s="15">
        <v>-123.2</v>
      </c>
      <c r="I13" s="15">
        <v>-41.5</v>
      </c>
      <c r="J13" s="101"/>
      <c r="K13" s="16">
        <f>($C$13*G13)+($D$13*H13)+($E$13*I13)</f>
        <v>19.430647795538178</v>
      </c>
      <c r="L13" s="16">
        <f>($C$14*G13)+($D$14*H13)+($E$14*I13)</f>
        <v>-124.24271591894237</v>
      </c>
      <c r="M13" s="16">
        <f>($C$15*G13)+($D$15*H13)+($E$15*I13)</f>
        <v>79.733603125224036</v>
      </c>
      <c r="N13" s="101"/>
      <c r="O13" s="22"/>
      <c r="P13" s="34"/>
      <c r="Q13" s="34"/>
      <c r="R13" s="34"/>
      <c r="S13" s="101"/>
      <c r="T13" s="101"/>
      <c r="U13" s="105" t="s">
        <v>27</v>
      </c>
      <c r="V13" s="105"/>
      <c r="W13" s="105"/>
      <c r="X13" s="101"/>
      <c r="Y13" s="101"/>
      <c r="Z13" s="105" t="s">
        <v>26</v>
      </c>
      <c r="AA13" s="105"/>
      <c r="AB13" s="105"/>
      <c r="AC13" s="101"/>
      <c r="AD13" s="101"/>
      <c r="AE13" s="101"/>
      <c r="AF13" s="101"/>
      <c r="AG13" s="102"/>
    </row>
    <row r="14" spans="1:33" x14ac:dyDescent="0.25">
      <c r="A14" s="22"/>
      <c r="B14" s="1" t="s">
        <v>9</v>
      </c>
      <c r="C14" s="6">
        <v>0.74492741158036579</v>
      </c>
      <c r="D14" s="6">
        <v>0.63665297600805792</v>
      </c>
      <c r="E14" s="6">
        <v>-0.19938941701168506</v>
      </c>
      <c r="F14" s="100"/>
      <c r="G14" s="15">
        <v>-152.4</v>
      </c>
      <c r="H14" s="15">
        <v>86.199999999999989</v>
      </c>
      <c r="I14" s="15">
        <v>80.599999999999994</v>
      </c>
      <c r="J14" s="101"/>
      <c r="K14" s="16">
        <f>($C$13*G14)+($D$13*H14)+($E$13*I14)</f>
        <v>59.692154651741284</v>
      </c>
      <c r="L14" s="16">
        <f t="shared" ref="L14:L16" si="0">($C$14*G14)+($D$14*H14)+($E$14*I14)</f>
        <v>-74.718238004094985</v>
      </c>
      <c r="M14" s="16">
        <f t="shared" ref="M14:M16" si="1">($C$15*G14)+($D$15*H14)+($E$15*I14)</f>
        <v>-167.35170026801643</v>
      </c>
      <c r="N14" s="101"/>
      <c r="O14" s="22"/>
      <c r="P14" s="34"/>
      <c r="Q14" s="34"/>
      <c r="R14" s="34"/>
      <c r="S14" s="70"/>
      <c r="T14" s="70"/>
      <c r="U14" s="32">
        <v>-0.19020200000000001</v>
      </c>
      <c r="V14" s="32">
        <v>0.69673300000000005</v>
      </c>
      <c r="W14" s="32">
        <v>0.69165500000000002</v>
      </c>
      <c r="X14" s="70"/>
      <c r="Y14" s="70"/>
      <c r="Z14" s="32">
        <v>0.45171099999999997</v>
      </c>
      <c r="AA14" s="32">
        <v>-0.80075499999999999</v>
      </c>
      <c r="AB14" s="32">
        <v>0.39338000000000001</v>
      </c>
      <c r="AC14" s="101"/>
      <c r="AD14" s="101"/>
      <c r="AE14" s="101"/>
      <c r="AF14" s="101"/>
      <c r="AG14" s="102"/>
    </row>
    <row r="15" spans="1:33" x14ac:dyDescent="0.25">
      <c r="A15" s="22"/>
      <c r="B15" s="1" t="s">
        <v>10</v>
      </c>
      <c r="C15" s="6">
        <v>0.38329900515156512</v>
      </c>
      <c r="D15" s="6">
        <v>-0.65304439197317876</v>
      </c>
      <c r="E15" s="6">
        <v>-0.65315763393089243</v>
      </c>
      <c r="F15" s="100"/>
      <c r="G15" s="15">
        <v>203.7</v>
      </c>
      <c r="H15" s="15">
        <v>202.4</v>
      </c>
      <c r="I15" s="15">
        <v>100.8</v>
      </c>
      <c r="J15" s="101"/>
      <c r="K15" s="16">
        <f t="shared" ref="K15:K16" si="2">($C$13*G15)+($D$13*H15)+($E$13*I15)</f>
        <v>-101.85349358589572</v>
      </c>
      <c r="L15" s="16">
        <f t="shared" si="0"/>
        <v>260.50182284817356</v>
      </c>
      <c r="M15" s="16">
        <f t="shared" si="1"/>
        <v>-119.93646708623154</v>
      </c>
      <c r="N15" s="101"/>
      <c r="O15" s="22"/>
      <c r="P15" s="34"/>
      <c r="Q15" s="34"/>
      <c r="R15" s="34"/>
      <c r="S15" s="70"/>
      <c r="T15" s="70"/>
      <c r="U15" s="32">
        <v>-0.90742299999999998</v>
      </c>
      <c r="V15" s="32">
        <v>-0.39366299999999999</v>
      </c>
      <c r="W15" s="32">
        <v>0.14701600000000001</v>
      </c>
      <c r="X15" s="70"/>
      <c r="Y15" s="70"/>
      <c r="Z15" s="32">
        <v>0.70823800000000003</v>
      </c>
      <c r="AA15" s="32">
        <v>5.3709E-2</v>
      </c>
      <c r="AB15" s="32">
        <v>-0.703928</v>
      </c>
      <c r="AC15" s="101"/>
      <c r="AD15" s="101"/>
      <c r="AE15" s="101"/>
      <c r="AF15" s="101"/>
      <c r="AG15" s="102"/>
    </row>
    <row r="16" spans="1:33" x14ac:dyDescent="0.25">
      <c r="A16" s="22"/>
      <c r="B16" s="100"/>
      <c r="C16" s="100"/>
      <c r="D16" s="100"/>
      <c r="E16" s="100"/>
      <c r="F16" s="100"/>
      <c r="G16" s="15">
        <v>223.8</v>
      </c>
      <c r="H16" s="15">
        <v>205.6</v>
      </c>
      <c r="I16" s="15">
        <v>180.8</v>
      </c>
      <c r="J16" s="100"/>
      <c r="K16" s="16">
        <f t="shared" si="2"/>
        <v>-169.95651195383817</v>
      </c>
      <c r="L16" s="16">
        <f t="shared" si="0"/>
        <v>261.56099998322992</v>
      </c>
      <c r="M16" s="16">
        <f t="shared" si="1"/>
        <v>-166.57450985147062</v>
      </c>
      <c r="N16" s="101"/>
      <c r="O16" s="22"/>
      <c r="P16" s="34"/>
      <c r="Q16" s="34"/>
      <c r="R16" s="34"/>
      <c r="S16" s="70"/>
      <c r="T16" s="70"/>
      <c r="U16" s="32">
        <v>0.37470999999999999</v>
      </c>
      <c r="V16" s="32">
        <v>-0.599661</v>
      </c>
      <c r="W16" s="32">
        <v>0.70710700000000004</v>
      </c>
      <c r="X16" s="70"/>
      <c r="Y16" s="70"/>
      <c r="Z16" s="32">
        <v>0.54254599999999997</v>
      </c>
      <c r="AA16" s="32">
        <v>0.59657899999999997</v>
      </c>
      <c r="AB16" s="32">
        <v>0.59138599999999997</v>
      </c>
      <c r="AC16" s="101"/>
      <c r="AD16" s="101"/>
      <c r="AE16" s="101"/>
      <c r="AF16" s="101"/>
      <c r="AG16" s="102"/>
    </row>
    <row r="17" spans="1:33" x14ac:dyDescent="0.25">
      <c r="A17" s="22"/>
      <c r="B17" s="100"/>
      <c r="C17" s="100"/>
      <c r="D17" s="100"/>
      <c r="E17" s="100"/>
      <c r="F17" s="100"/>
      <c r="G17" s="100"/>
      <c r="H17" s="101"/>
      <c r="I17" s="101"/>
      <c r="J17" s="101"/>
      <c r="K17" s="101"/>
      <c r="L17" s="101"/>
      <c r="M17" s="101"/>
      <c r="N17" s="101"/>
      <c r="O17" s="22"/>
      <c r="P17" s="101"/>
      <c r="Q17" s="101"/>
      <c r="R17" s="101"/>
      <c r="S17" s="101"/>
      <c r="T17" s="101"/>
      <c r="U17" s="101"/>
      <c r="V17" s="101"/>
      <c r="W17" s="101"/>
      <c r="X17" s="101"/>
      <c r="Y17" s="101"/>
      <c r="Z17" s="101"/>
      <c r="AA17" s="101"/>
      <c r="AB17" s="101"/>
      <c r="AC17" s="101"/>
      <c r="AD17" s="101"/>
      <c r="AE17" s="101"/>
      <c r="AF17" s="101"/>
      <c r="AG17" s="102"/>
    </row>
    <row r="18" spans="1:33" ht="15.75" thickBot="1" x14ac:dyDescent="0.3">
      <c r="A18" s="22"/>
      <c r="B18" s="100"/>
      <c r="C18" s="100"/>
      <c r="D18" s="100"/>
      <c r="E18" s="100"/>
      <c r="F18" s="100"/>
      <c r="G18" s="100"/>
      <c r="H18" s="101"/>
      <c r="I18" s="101"/>
      <c r="J18" s="101"/>
      <c r="K18" s="101"/>
      <c r="L18" s="101"/>
      <c r="M18" s="101"/>
      <c r="N18" s="101"/>
      <c r="O18" s="22"/>
      <c r="P18" s="101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  <c r="AD18" s="101"/>
      <c r="AE18" s="101"/>
      <c r="AF18" s="101"/>
      <c r="AG18" s="102"/>
    </row>
    <row r="19" spans="1:33" ht="15.75" thickBot="1" x14ac:dyDescent="0.3">
      <c r="A19" s="22"/>
      <c r="B19" s="101"/>
      <c r="C19" s="101"/>
      <c r="D19" s="101"/>
      <c r="E19" s="101"/>
      <c r="F19" s="101"/>
      <c r="G19" s="112" t="s">
        <v>13</v>
      </c>
      <c r="H19" s="113"/>
      <c r="I19" s="113"/>
      <c r="J19" s="113"/>
      <c r="K19" s="113"/>
      <c r="L19" s="113"/>
      <c r="M19" s="114"/>
      <c r="N19" s="64"/>
      <c r="O19" s="22"/>
      <c r="P19" s="101"/>
      <c r="Q19" s="101"/>
      <c r="R19" s="101"/>
      <c r="S19" s="101"/>
      <c r="T19" s="101"/>
      <c r="U19" s="36">
        <f t="array" ref="U19:W21">MMULT(Z14:AB16,U14:W16)</f>
        <v>0.78811058854299998</v>
      </c>
      <c r="V19" s="37">
        <v>0.39405493154800003</v>
      </c>
      <c r="W19" s="38">
        <v>0.47286612628499997</v>
      </c>
      <c r="X19" s="101"/>
      <c r="Y19" s="101"/>
      <c r="Z19" s="101"/>
      <c r="AA19" s="101"/>
      <c r="AB19" s="101"/>
      <c r="AC19" s="101"/>
      <c r="AD19" s="101"/>
      <c r="AE19" s="101"/>
      <c r="AF19" s="101"/>
      <c r="AG19" s="102"/>
    </row>
    <row r="20" spans="1:33" x14ac:dyDescent="0.25">
      <c r="A20" s="22"/>
      <c r="B20" s="100"/>
      <c r="C20" s="100"/>
      <c r="D20" s="100"/>
      <c r="E20" s="100"/>
      <c r="F20" s="100"/>
      <c r="G20" s="100"/>
      <c r="H20" s="101"/>
      <c r="I20" s="101"/>
      <c r="J20" s="101"/>
      <c r="K20" s="101"/>
      <c r="L20" s="101"/>
      <c r="M20" s="101"/>
      <c r="N20" s="101"/>
      <c r="O20" s="22"/>
      <c r="P20" s="101"/>
      <c r="Q20" s="101"/>
      <c r="R20" s="101"/>
      <c r="S20" s="101"/>
      <c r="T20" s="101"/>
      <c r="U20" s="39">
        <v>-0.44721392686300004</v>
      </c>
      <c r="V20" s="40">
        <v>0.894427708795</v>
      </c>
      <c r="W20" s="41">
        <v>1.9938000028751901E-8</v>
      </c>
      <c r="X20" s="101"/>
      <c r="Y20" s="101"/>
      <c r="Z20" s="101"/>
      <c r="AA20" s="101"/>
      <c r="AB20" s="101"/>
      <c r="AC20" s="101"/>
      <c r="AD20" s="101"/>
      <c r="AE20" s="101"/>
      <c r="AF20" s="101"/>
      <c r="AG20" s="102"/>
    </row>
    <row r="21" spans="1:33" ht="15.75" thickBot="1" x14ac:dyDescent="0.3">
      <c r="A21" s="22"/>
      <c r="B21" s="101"/>
      <c r="C21" s="101"/>
      <c r="D21" s="101"/>
      <c r="E21" s="101"/>
      <c r="F21" s="100"/>
      <c r="G21" s="115" t="s">
        <v>17</v>
      </c>
      <c r="H21" s="116"/>
      <c r="I21" s="117"/>
      <c r="J21" s="100"/>
      <c r="K21" s="115" t="s">
        <v>16</v>
      </c>
      <c r="L21" s="116"/>
      <c r="M21" s="117"/>
      <c r="N21" s="100"/>
      <c r="O21" s="118"/>
      <c r="P21" s="119"/>
      <c r="Q21" s="119"/>
      <c r="R21" s="101"/>
      <c r="S21" s="101"/>
      <c r="T21" s="101"/>
      <c r="U21" s="42">
        <v>-0.42294459214899993</v>
      </c>
      <c r="V21" s="43">
        <v>-0.21147249680499994</v>
      </c>
      <c r="W21" s="44">
        <v>0.88113449219600004</v>
      </c>
      <c r="X21" s="101"/>
      <c r="Y21" s="101"/>
      <c r="Z21" s="101"/>
      <c r="AA21" s="101"/>
      <c r="AB21" s="101"/>
      <c r="AC21" s="101"/>
      <c r="AD21" s="101"/>
      <c r="AE21" s="101"/>
      <c r="AF21" s="101"/>
      <c r="AG21" s="102"/>
    </row>
    <row r="22" spans="1:33" x14ac:dyDescent="0.25">
      <c r="A22" s="22"/>
      <c r="B22" s="17"/>
      <c r="C22" s="120" t="s">
        <v>23</v>
      </c>
      <c r="D22" s="120"/>
      <c r="E22" s="120"/>
      <c r="F22" s="100"/>
      <c r="G22" s="8" t="s">
        <v>0</v>
      </c>
      <c r="H22" s="8" t="s">
        <v>1</v>
      </c>
      <c r="I22" s="8" t="s">
        <v>4</v>
      </c>
      <c r="J22" s="100"/>
      <c r="K22" s="8" t="s">
        <v>2</v>
      </c>
      <c r="L22" s="8" t="s">
        <v>3</v>
      </c>
      <c r="M22" s="8" t="s">
        <v>5</v>
      </c>
      <c r="N22" s="100"/>
      <c r="O22" s="22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Z22" s="101"/>
      <c r="AA22" s="101"/>
      <c r="AB22" s="101"/>
      <c r="AC22" s="101"/>
      <c r="AD22" s="101"/>
      <c r="AE22" s="101"/>
      <c r="AF22" s="101"/>
      <c r="AG22" s="102"/>
    </row>
    <row r="23" spans="1:33" x14ac:dyDescent="0.25">
      <c r="A23" s="22"/>
      <c r="B23" s="101"/>
      <c r="C23" s="19">
        <f t="array" ref="C23:E25">MINVERSE(C13:E15)</f>
        <v>-0.54604489204276674</v>
      </c>
      <c r="D23" s="20">
        <v>0.74492741158036568</v>
      </c>
      <c r="E23" s="20">
        <v>0.38329900515156501</v>
      </c>
      <c r="F23" s="100"/>
      <c r="G23" s="16">
        <f>K13</f>
        <v>19.430647795538178</v>
      </c>
      <c r="H23" s="16">
        <f t="shared" ref="H23:I26" si="3">L13</f>
        <v>-124.24271591894237</v>
      </c>
      <c r="I23" s="16">
        <f t="shared" si="3"/>
        <v>79.733603125224036</v>
      </c>
      <c r="J23" s="101"/>
      <c r="K23" s="15">
        <f>($C$23*G23)+($D$23*H23)+($E$23*I23)</f>
        <v>-72.600000000000009</v>
      </c>
      <c r="L23" s="15">
        <f>($C$24*G23)+($D$24*H23)+($E$24*I23)</f>
        <v>-123.19999999999999</v>
      </c>
      <c r="M23" s="15">
        <f>($C$25*G23)+($D$25*H23)+($E$25*I23)</f>
        <v>-41.500000000000007</v>
      </c>
      <c r="N23" s="100"/>
      <c r="O23" s="22"/>
      <c r="P23" s="101"/>
      <c r="Q23" s="101"/>
      <c r="R23" s="101"/>
      <c r="S23" s="101"/>
      <c r="T23" s="101"/>
      <c r="U23" s="101"/>
      <c r="V23" s="101"/>
      <c r="W23" s="101"/>
      <c r="X23" s="101"/>
      <c r="Y23" s="101"/>
      <c r="Z23" s="101"/>
      <c r="AA23" s="101"/>
      <c r="AB23" s="101"/>
      <c r="AC23" s="101"/>
      <c r="AD23" s="101"/>
      <c r="AE23" s="101"/>
      <c r="AF23" s="101"/>
      <c r="AG23" s="102"/>
    </row>
    <row r="24" spans="1:33" x14ac:dyDescent="0.25">
      <c r="A24" s="22"/>
      <c r="B24" s="101"/>
      <c r="C24" s="20">
        <v>0.41012926041976633</v>
      </c>
      <c r="D24" s="20">
        <v>0.63665297600805781</v>
      </c>
      <c r="E24" s="20">
        <v>-0.65304439197317865</v>
      </c>
      <c r="F24" s="100"/>
      <c r="G24" s="16">
        <f t="shared" ref="G24:G26" si="4">K14</f>
        <v>59.692154651741284</v>
      </c>
      <c r="H24" s="16">
        <f t="shared" si="3"/>
        <v>-74.718238004094985</v>
      </c>
      <c r="I24" s="16">
        <f t="shared" si="3"/>
        <v>-167.35170026801643</v>
      </c>
      <c r="J24" s="101"/>
      <c r="K24" s="15">
        <f>($C$23*G24)+($D$23*H24)+($E$23*I24)</f>
        <v>-152.39999999999998</v>
      </c>
      <c r="L24" s="15">
        <f>($C$24*G24)+($D$24*H24)+($E$24*I24)</f>
        <v>86.19999999999996</v>
      </c>
      <c r="M24" s="15">
        <f>($C$25*G24)+($D$25*H24)+($E$25*I24)</f>
        <v>80.59999999999998</v>
      </c>
      <c r="N24" s="100"/>
      <c r="O24" s="22"/>
      <c r="P24" s="101"/>
      <c r="Q24" s="101"/>
      <c r="R24" s="101"/>
      <c r="S24" s="101"/>
      <c r="T24" s="101"/>
      <c r="U24" s="101"/>
      <c r="V24" s="101"/>
      <c r="W24" s="101"/>
      <c r="X24" s="101"/>
      <c r="Y24" s="101"/>
      <c r="Z24" s="101"/>
      <c r="AA24" s="101"/>
      <c r="AB24" s="101"/>
      <c r="AC24" s="101"/>
      <c r="AD24" s="101"/>
      <c r="AE24" s="101"/>
      <c r="AF24" s="101"/>
      <c r="AG24" s="102"/>
    </row>
    <row r="25" spans="1:33" x14ac:dyDescent="0.25">
      <c r="A25" s="22"/>
      <c r="B25" s="101"/>
      <c r="C25" s="20">
        <v>-0.73049912089032576</v>
      </c>
      <c r="D25" s="20">
        <v>-0.19938941701168514</v>
      </c>
      <c r="E25" s="20">
        <v>-0.65315763393089254</v>
      </c>
      <c r="F25" s="100"/>
      <c r="G25" s="16">
        <f t="shared" si="4"/>
        <v>-101.85349358589572</v>
      </c>
      <c r="H25" s="16">
        <f t="shared" si="3"/>
        <v>260.50182284817356</v>
      </c>
      <c r="I25" s="16">
        <f t="shared" si="3"/>
        <v>-119.93646708623154</v>
      </c>
      <c r="J25" s="101"/>
      <c r="K25" s="15">
        <f>($C$23*G25)+($D$23*H25)+($E$23*I25)</f>
        <v>203.7</v>
      </c>
      <c r="L25" s="15">
        <f>($C$24*G25)+($D$24*H25)+($E$24*I25)</f>
        <v>202.39999999999998</v>
      </c>
      <c r="M25" s="15">
        <f>($C$25*G25)+($D$25*H25)+($E$25*I25)</f>
        <v>100.80000000000003</v>
      </c>
      <c r="N25" s="100"/>
      <c r="O25" s="22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  <c r="AA25" s="101"/>
      <c r="AB25" s="101"/>
      <c r="AC25" s="101"/>
      <c r="AD25" s="101"/>
      <c r="AE25" s="101"/>
      <c r="AF25" s="101"/>
      <c r="AG25" s="102"/>
    </row>
    <row r="26" spans="1:33" x14ac:dyDescent="0.25">
      <c r="A26" s="22"/>
      <c r="B26" s="100"/>
      <c r="C26" s="100"/>
      <c r="D26" s="100"/>
      <c r="E26" s="100"/>
      <c r="F26" s="100"/>
      <c r="G26" s="16">
        <f t="shared" si="4"/>
        <v>-169.95651195383817</v>
      </c>
      <c r="H26" s="16">
        <f t="shared" si="3"/>
        <v>261.56099998322992</v>
      </c>
      <c r="I26" s="16">
        <f t="shared" si="3"/>
        <v>-166.57450985147062</v>
      </c>
      <c r="J26" s="100"/>
      <c r="K26" s="15">
        <f>($C$23*G26)+($D$23*H26)+($E$23*I26)</f>
        <v>223.8</v>
      </c>
      <c r="L26" s="15">
        <f>($C$24*G26)+($D$24*H26)+($E24*I26)</f>
        <v>205.59999999999997</v>
      </c>
      <c r="M26" s="15">
        <f>($C$25*G26)+($D$25*H26)+($E$25*I26)</f>
        <v>180.8</v>
      </c>
      <c r="N26" s="100"/>
      <c r="O26" s="22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02"/>
    </row>
    <row r="27" spans="1:33" x14ac:dyDescent="0.25">
      <c r="A27" s="22"/>
      <c r="B27" s="100"/>
      <c r="C27" s="100"/>
      <c r="D27" s="100"/>
      <c r="E27" s="100"/>
      <c r="F27" s="100"/>
      <c r="G27" s="12"/>
      <c r="H27" s="12"/>
      <c r="I27" s="12"/>
      <c r="J27" s="100"/>
      <c r="K27" s="12"/>
      <c r="L27" s="12"/>
      <c r="M27" s="12"/>
      <c r="N27" s="100"/>
      <c r="O27" s="22"/>
      <c r="P27" s="101"/>
      <c r="Q27" s="101"/>
      <c r="R27" s="101"/>
      <c r="S27" s="101"/>
      <c r="T27" s="101"/>
      <c r="U27" s="101"/>
      <c r="V27" s="101"/>
      <c r="W27" s="101"/>
      <c r="X27" s="101"/>
      <c r="Y27" s="101"/>
      <c r="Z27" s="101"/>
      <c r="AA27" s="101"/>
      <c r="AB27" s="101"/>
      <c r="AC27" s="101"/>
      <c r="AD27" s="101"/>
      <c r="AE27" s="101"/>
      <c r="AF27" s="101"/>
      <c r="AG27" s="102"/>
    </row>
    <row r="28" spans="1:33" x14ac:dyDescent="0.25">
      <c r="A28" s="22"/>
      <c r="B28" s="101"/>
      <c r="C28" s="101"/>
      <c r="D28" s="101"/>
      <c r="E28" s="101"/>
      <c r="F28" s="101"/>
      <c r="G28" s="101">
        <v>0</v>
      </c>
      <c r="H28" s="101"/>
      <c r="I28" s="101"/>
      <c r="J28" s="101"/>
      <c r="K28" s="101"/>
      <c r="L28" s="101"/>
      <c r="M28" s="101"/>
      <c r="N28" s="101"/>
      <c r="O28" s="22"/>
      <c r="P28" s="101"/>
      <c r="Q28" s="101"/>
      <c r="R28" s="101"/>
      <c r="S28" s="101"/>
      <c r="T28" s="101"/>
      <c r="U28" s="101"/>
      <c r="V28" s="101"/>
      <c r="W28" s="101"/>
      <c r="X28" s="101"/>
      <c r="Y28" s="101"/>
      <c r="Z28" s="101"/>
      <c r="AA28" s="101"/>
      <c r="AB28" s="101"/>
      <c r="AC28" s="101"/>
      <c r="AD28" s="101"/>
      <c r="AE28" s="101"/>
      <c r="AF28" s="101"/>
      <c r="AG28" s="102"/>
    </row>
    <row r="29" spans="1:33" x14ac:dyDescent="0.25">
      <c r="A29" s="22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22"/>
      <c r="P29" s="101"/>
      <c r="Q29" s="101"/>
      <c r="R29" s="101"/>
      <c r="S29" s="101"/>
      <c r="T29" s="101"/>
      <c r="U29" s="101"/>
      <c r="V29" s="101"/>
      <c r="W29" s="101"/>
      <c r="X29" s="101"/>
      <c r="Y29" s="101"/>
      <c r="Z29" s="101"/>
      <c r="AA29" s="101"/>
      <c r="AB29" s="101"/>
      <c r="AC29" s="101"/>
      <c r="AD29" s="101"/>
      <c r="AE29" s="101"/>
      <c r="AF29" s="101"/>
      <c r="AG29" s="102"/>
    </row>
    <row r="30" spans="1:33" x14ac:dyDescent="0.25">
      <c r="A30" s="22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22"/>
      <c r="P30" s="101"/>
      <c r="Q30" s="101"/>
      <c r="R30" s="101"/>
      <c r="S30" s="101"/>
      <c r="T30" s="101"/>
      <c r="U30" s="101"/>
      <c r="V30" s="101"/>
      <c r="W30" s="101"/>
      <c r="X30" s="101"/>
      <c r="Y30" s="101"/>
      <c r="Z30" s="101"/>
      <c r="AA30" s="101"/>
      <c r="AB30" s="101"/>
      <c r="AC30" s="101"/>
      <c r="AD30" s="101"/>
      <c r="AE30" s="101"/>
      <c r="AF30" s="101"/>
      <c r="AG30" s="102"/>
    </row>
    <row r="31" spans="1:33" x14ac:dyDescent="0.25">
      <c r="A31" s="22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22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1"/>
      <c r="AE31" s="101"/>
      <c r="AF31" s="101"/>
      <c r="AG31" s="102"/>
    </row>
    <row r="32" spans="1:33" x14ac:dyDescent="0.25">
      <c r="A32" s="22"/>
      <c r="B32" s="101"/>
      <c r="C32" s="105" t="s">
        <v>24</v>
      </c>
      <c r="D32" s="105"/>
      <c r="E32" s="105"/>
      <c r="F32" s="101"/>
      <c r="G32" s="105" t="s">
        <v>25</v>
      </c>
      <c r="H32" s="105"/>
      <c r="I32" s="105"/>
      <c r="J32" s="101"/>
      <c r="K32" s="101"/>
      <c r="L32" s="101"/>
      <c r="M32" s="101"/>
      <c r="N32" s="101"/>
      <c r="O32" s="22"/>
      <c r="P32" s="101"/>
      <c r="Q32" s="101"/>
      <c r="R32" s="101"/>
      <c r="S32" s="101"/>
      <c r="T32" s="101"/>
      <c r="U32" s="101"/>
      <c r="V32" s="101"/>
      <c r="W32" s="101"/>
      <c r="X32" s="101"/>
      <c r="Y32" s="101"/>
      <c r="Z32" s="101"/>
      <c r="AA32" s="101"/>
      <c r="AB32" s="101"/>
      <c r="AC32" s="101"/>
      <c r="AD32" s="101"/>
      <c r="AE32" s="101"/>
      <c r="AF32" s="101"/>
      <c r="AG32" s="102"/>
    </row>
    <row r="33" spans="1:33" x14ac:dyDescent="0.25">
      <c r="A33" s="22"/>
      <c r="B33" s="101"/>
      <c r="C33" s="20">
        <f t="array" ref="C33:E35">TRANSPOSE(C13:E15)</f>
        <v>-0.54604489204276685</v>
      </c>
      <c r="D33" s="20">
        <v>0.74492741158036579</v>
      </c>
      <c r="E33" s="20">
        <v>0.38329900515156512</v>
      </c>
      <c r="F33" s="101"/>
      <c r="G33" s="20">
        <f t="array" ref="G33:I35">MMULT(C13:E15,C33:E35)</f>
        <v>1</v>
      </c>
      <c r="H33" s="20">
        <v>-8.3266726846886741E-17</v>
      </c>
      <c r="I33" s="20">
        <v>-5.5511151231257827E-17</v>
      </c>
      <c r="J33" s="101"/>
      <c r="K33" s="101"/>
      <c r="L33" s="101"/>
      <c r="M33" s="101"/>
      <c r="N33" s="101"/>
      <c r="O33" s="22"/>
      <c r="P33" s="101"/>
      <c r="Q33" s="101"/>
      <c r="R33" s="101"/>
      <c r="S33" s="101"/>
      <c r="T33" s="101"/>
      <c r="U33" s="101"/>
      <c r="V33" s="101"/>
      <c r="W33" s="101"/>
      <c r="X33" s="101"/>
      <c r="Y33" s="101"/>
      <c r="Z33" s="101"/>
      <c r="AA33" s="101"/>
      <c r="AB33" s="101"/>
      <c r="AC33" s="101"/>
      <c r="AD33" s="101"/>
      <c r="AE33" s="101"/>
      <c r="AF33" s="101"/>
      <c r="AG33" s="102"/>
    </row>
    <row r="34" spans="1:33" x14ac:dyDescent="0.25">
      <c r="A34" s="22"/>
      <c r="B34" s="101"/>
      <c r="C34" s="20">
        <v>0.41012926041976627</v>
      </c>
      <c r="D34" s="20">
        <v>0.63665297600805792</v>
      </c>
      <c r="E34" s="20">
        <v>-0.65304439197317876</v>
      </c>
      <c r="F34" s="101"/>
      <c r="G34" s="20">
        <v>-8.3266726846886741E-17</v>
      </c>
      <c r="H34" s="20">
        <v>1</v>
      </c>
      <c r="I34" s="20">
        <v>-2.7755575615628914E-17</v>
      </c>
      <c r="J34" s="101"/>
      <c r="K34" s="101"/>
      <c r="L34" s="101"/>
      <c r="M34" s="101"/>
      <c r="N34" s="101"/>
      <c r="O34" s="22"/>
      <c r="P34" s="101"/>
      <c r="Q34" s="101"/>
      <c r="R34" s="34"/>
      <c r="S34" s="101"/>
      <c r="T34" s="101"/>
      <c r="U34" s="101"/>
      <c r="V34" s="101"/>
      <c r="W34" s="101"/>
      <c r="X34" s="101"/>
      <c r="Y34" s="101"/>
      <c r="Z34" s="101"/>
      <c r="AA34" s="101"/>
      <c r="AB34" s="101"/>
      <c r="AC34" s="101"/>
      <c r="AD34" s="101"/>
      <c r="AE34" s="101"/>
      <c r="AF34" s="101"/>
      <c r="AG34" s="102"/>
    </row>
    <row r="35" spans="1:33" x14ac:dyDescent="0.25">
      <c r="A35" s="22"/>
      <c r="B35" s="101"/>
      <c r="C35" s="20">
        <v>-0.73049912089032565</v>
      </c>
      <c r="D35" s="20">
        <v>-0.19938941701168506</v>
      </c>
      <c r="E35" s="20">
        <v>-0.65315763393089243</v>
      </c>
      <c r="F35" s="101"/>
      <c r="G35" s="20">
        <v>-5.5511151231257827E-17</v>
      </c>
      <c r="H35" s="20">
        <v>-2.7755575615628914E-17</v>
      </c>
      <c r="I35" s="20">
        <v>1</v>
      </c>
      <c r="J35" s="101"/>
      <c r="K35" s="101"/>
      <c r="L35" s="101"/>
      <c r="M35" s="101"/>
      <c r="N35" s="101"/>
      <c r="O35" s="22"/>
      <c r="P35" s="34"/>
      <c r="Q35" s="34"/>
      <c r="R35" s="34"/>
      <c r="S35" s="101"/>
      <c r="T35" s="101"/>
      <c r="U35" s="105" t="s">
        <v>27</v>
      </c>
      <c r="V35" s="105"/>
      <c r="W35" s="105"/>
      <c r="X35" s="101"/>
      <c r="Y35" s="101"/>
      <c r="Z35" s="105" t="s">
        <v>26</v>
      </c>
      <c r="AA35" s="105"/>
      <c r="AB35" s="105"/>
      <c r="AC35" s="101"/>
      <c r="AD35" s="101"/>
      <c r="AE35" s="105" t="s">
        <v>28</v>
      </c>
      <c r="AF35" s="105"/>
      <c r="AG35" s="110"/>
    </row>
    <row r="36" spans="1:33" ht="15.75" thickBot="1" x14ac:dyDescent="0.3">
      <c r="A36" s="29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22"/>
      <c r="P36" s="34"/>
      <c r="Q36" s="34"/>
      <c r="R36" s="34"/>
      <c r="S36" s="70"/>
      <c r="T36" s="70"/>
      <c r="U36" s="32">
        <v>-0.19020200000000001</v>
      </c>
      <c r="V36" s="32">
        <v>0.69673300000000005</v>
      </c>
      <c r="W36" s="32">
        <v>0.69165500000000002</v>
      </c>
      <c r="X36" s="70"/>
      <c r="Y36" s="70"/>
      <c r="Z36" s="32">
        <v>0.45171099999999997</v>
      </c>
      <c r="AA36" s="32">
        <v>-0.80075499999999999</v>
      </c>
      <c r="AB36" s="32">
        <v>0.39338000000000001</v>
      </c>
      <c r="AC36" s="101"/>
      <c r="AD36" s="101"/>
      <c r="AE36" s="32">
        <v>0.60336500000000004</v>
      </c>
      <c r="AF36" s="32">
        <v>0.446515</v>
      </c>
      <c r="AG36" s="71">
        <v>0.66073800000000005</v>
      </c>
    </row>
    <row r="37" spans="1:33" x14ac:dyDescent="0.25">
      <c r="O37" s="22"/>
      <c r="P37" s="34"/>
      <c r="Q37" s="34"/>
      <c r="R37" s="34"/>
      <c r="S37" s="70"/>
      <c r="T37" s="70"/>
      <c r="U37" s="32">
        <v>-0.90742299999999998</v>
      </c>
      <c r="V37" s="32">
        <v>-0.39366299999999999</v>
      </c>
      <c r="W37" s="32">
        <v>0.14701600000000001</v>
      </c>
      <c r="X37" s="70"/>
      <c r="Y37" s="70"/>
      <c r="Z37" s="32">
        <v>0.70823800000000003</v>
      </c>
      <c r="AA37" s="32">
        <v>5.3709E-2</v>
      </c>
      <c r="AB37" s="32">
        <v>-0.703928</v>
      </c>
      <c r="AC37" s="101"/>
      <c r="AD37" s="101"/>
      <c r="AE37" s="32">
        <v>-0.66570300000000004</v>
      </c>
      <c r="AF37" s="32">
        <v>-0.174176</v>
      </c>
      <c r="AG37" s="71">
        <v>0.72560500000000006</v>
      </c>
    </row>
    <row r="38" spans="1:33" x14ac:dyDescent="0.25">
      <c r="O38" s="22"/>
      <c r="P38" s="34"/>
      <c r="Q38" s="34"/>
      <c r="R38" s="34"/>
      <c r="S38" s="70"/>
      <c r="T38" s="70"/>
      <c r="U38" s="32">
        <v>0.37470999999999999</v>
      </c>
      <c r="V38" s="32">
        <v>-0.599661</v>
      </c>
      <c r="W38" s="32">
        <v>0.70710700000000004</v>
      </c>
      <c r="X38" s="70"/>
      <c r="Y38" s="70"/>
      <c r="Z38" s="32">
        <v>0.54254599999999997</v>
      </c>
      <c r="AA38" s="32">
        <v>0.59657899999999997</v>
      </c>
      <c r="AB38" s="32">
        <v>0.59138599999999997</v>
      </c>
      <c r="AC38" s="101"/>
      <c r="AD38" s="101"/>
      <c r="AE38" s="32">
        <v>0.43907800000000002</v>
      </c>
      <c r="AF38" s="32">
        <v>-0.87766</v>
      </c>
      <c r="AG38" s="71">
        <v>0.19215499999999999</v>
      </c>
    </row>
    <row r="39" spans="1:33" x14ac:dyDescent="0.25">
      <c r="O39" s="22"/>
      <c r="P39" s="101"/>
      <c r="Q39" s="101"/>
      <c r="R39" s="101"/>
      <c r="S39" s="101"/>
      <c r="T39" s="101"/>
      <c r="U39" s="101"/>
      <c r="V39" s="101"/>
      <c r="W39" s="101"/>
      <c r="X39" s="101"/>
      <c r="Y39" s="101"/>
      <c r="Z39" s="101"/>
      <c r="AA39" s="101"/>
      <c r="AB39" s="101"/>
      <c r="AC39" s="101"/>
      <c r="AD39" s="101"/>
      <c r="AE39" s="101"/>
      <c r="AF39" s="101"/>
      <c r="AG39" s="102"/>
    </row>
    <row r="40" spans="1:33" ht="15.75" thickBot="1" x14ac:dyDescent="0.3">
      <c r="O40" s="22"/>
      <c r="P40" s="101"/>
      <c r="Q40" s="101"/>
      <c r="R40" s="101"/>
      <c r="S40" s="101"/>
      <c r="T40" s="101"/>
      <c r="U40" s="101"/>
      <c r="V40" s="101"/>
      <c r="W40" s="101"/>
      <c r="X40" s="101"/>
      <c r="Y40" s="101"/>
      <c r="Z40" s="101"/>
      <c r="AA40" s="101"/>
      <c r="AB40" s="101"/>
      <c r="AC40" s="101"/>
      <c r="AD40" s="101"/>
      <c r="AE40" s="101"/>
      <c r="AF40" s="101"/>
      <c r="AG40" s="102"/>
    </row>
    <row r="41" spans="1:33" x14ac:dyDescent="0.25">
      <c r="O41" s="22"/>
      <c r="P41" s="101"/>
      <c r="Q41" s="101"/>
      <c r="R41" s="101"/>
      <c r="S41" s="101"/>
      <c r="T41" s="101"/>
      <c r="U41" s="36">
        <f t="array" ref="U41:W43">MMULT(Z41:AB43,U36:W38)</f>
        <v>-3.6249452243311969E-3</v>
      </c>
      <c r="V41" s="37">
        <v>0.49740642757211651</v>
      </c>
      <c r="W41" s="38">
        <v>0.86750992129316584</v>
      </c>
      <c r="X41" s="101"/>
      <c r="Y41" s="101"/>
      <c r="Z41" s="36">
        <f t="array" ref="Z41:AB43">MMULT(AE36:AG38,Z36:AB38)</f>
        <v>0.94726625703300005</v>
      </c>
      <c r="AA41" s="37">
        <v>-6.498325113800002E-2</v>
      </c>
      <c r="AB41" s="38">
        <v>0.31378851564800003</v>
      </c>
      <c r="AC41" s="101"/>
      <c r="AD41" s="101"/>
      <c r="AE41" s="101"/>
      <c r="AF41" s="101"/>
      <c r="AG41" s="102"/>
    </row>
    <row r="42" spans="1:33" x14ac:dyDescent="0.25">
      <c r="O42" s="22"/>
      <c r="P42" s="101"/>
      <c r="Q42" s="101"/>
      <c r="R42" s="101"/>
      <c r="S42" s="101"/>
      <c r="T42" s="101"/>
      <c r="U42" s="39">
        <v>-0.75364436098582599</v>
      </c>
      <c r="V42" s="40">
        <v>-0.57155689174756819</v>
      </c>
      <c r="W42" s="41">
        <v>0.32456719087085417</v>
      </c>
      <c r="X42" s="101"/>
      <c r="Y42" s="101"/>
      <c r="Z42" s="39">
        <v>-3.038933939099997E-2</v>
      </c>
      <c r="AA42" s="40">
        <v>0.95659089227600003</v>
      </c>
      <c r="AB42" s="41">
        <v>0.28984575571799998</v>
      </c>
      <c r="AC42" s="101"/>
      <c r="AD42" s="101"/>
      <c r="AE42" s="101"/>
      <c r="AF42" s="101"/>
      <c r="AG42" s="102"/>
    </row>
    <row r="43" spans="1:33" ht="15.75" thickBot="1" x14ac:dyDescent="0.3">
      <c r="O43" s="29"/>
      <c r="P43" s="30"/>
      <c r="Q43" s="30"/>
      <c r="R43" s="30"/>
      <c r="S43" s="30"/>
      <c r="T43" s="30"/>
      <c r="U43" s="42">
        <v>0.6572728779424728</v>
      </c>
      <c r="V43" s="43">
        <v>-0.65261806929035171</v>
      </c>
      <c r="W43" s="44">
        <v>0.37693949384610254</v>
      </c>
      <c r="X43" s="30"/>
      <c r="Y43" s="30"/>
      <c r="Z43" s="42">
        <v>-0.319002873992</v>
      </c>
      <c r="AA43" s="43">
        <v>-0.28409650708500001</v>
      </c>
      <c r="AB43" s="44">
        <v>0.90417172894999998</v>
      </c>
      <c r="AC43" s="30"/>
      <c r="AD43" s="30"/>
      <c r="AE43" s="30"/>
      <c r="AF43" s="30"/>
      <c r="AG43" s="31"/>
    </row>
    <row r="45" spans="1:33" x14ac:dyDescent="0.25">
      <c r="N45" s="101"/>
      <c r="O45" s="101"/>
      <c r="P45" s="101"/>
      <c r="Q45" s="101"/>
      <c r="R45" s="101"/>
      <c r="S45" s="101"/>
      <c r="T45" s="101"/>
      <c r="U45" s="101"/>
      <c r="V45" s="101"/>
      <c r="W45" s="101"/>
      <c r="X45" s="101"/>
      <c r="Y45" s="101"/>
      <c r="Z45" s="101"/>
    </row>
    <row r="46" spans="1:33" x14ac:dyDescent="0.25">
      <c r="N46" s="101"/>
      <c r="O46" s="101"/>
      <c r="P46" s="101"/>
      <c r="Q46" s="101"/>
      <c r="R46" s="101"/>
      <c r="S46" s="101"/>
      <c r="T46" s="101"/>
      <c r="U46" s="101"/>
      <c r="V46" s="101"/>
      <c r="W46" s="101"/>
      <c r="X46" s="101"/>
      <c r="Y46" s="101"/>
      <c r="Z46" s="101"/>
    </row>
    <row r="47" spans="1:33" x14ac:dyDescent="0.25">
      <c r="N47" s="101"/>
      <c r="O47" s="101"/>
      <c r="P47" s="101"/>
      <c r="Q47" s="101"/>
      <c r="R47" s="101"/>
      <c r="S47" s="101"/>
      <c r="T47" s="101"/>
      <c r="U47" s="101"/>
      <c r="V47" s="101"/>
      <c r="W47" s="101"/>
      <c r="X47" s="101"/>
      <c r="Y47" s="101"/>
      <c r="Z47" s="101"/>
    </row>
    <row r="48" spans="1:33" x14ac:dyDescent="0.25">
      <c r="N48" s="47"/>
      <c r="O48" s="47"/>
      <c r="P48" s="47"/>
      <c r="Q48" s="101"/>
      <c r="R48" s="101"/>
      <c r="S48" s="34"/>
      <c r="T48" s="34"/>
      <c r="U48" s="53"/>
      <c r="V48" s="101"/>
      <c r="W48" s="101"/>
      <c r="X48" s="101"/>
      <c r="Y48" s="101"/>
      <c r="Z48" s="101"/>
    </row>
    <row r="50" spans="4:24" x14ac:dyDescent="0.25">
      <c r="S50" s="47"/>
      <c r="T50" s="47"/>
      <c r="U50" s="47"/>
      <c r="V50" s="47"/>
      <c r="W50" s="47"/>
      <c r="X50" s="47"/>
    </row>
    <row r="51" spans="4:24" x14ac:dyDescent="0.25">
      <c r="S51" s="47"/>
      <c r="T51" s="47"/>
      <c r="U51" s="47"/>
      <c r="V51" s="47"/>
      <c r="W51" s="47"/>
      <c r="X51" s="47"/>
    </row>
    <row r="52" spans="4:24" x14ac:dyDescent="0.25">
      <c r="S52" s="47"/>
      <c r="T52" s="47"/>
      <c r="U52" s="47"/>
      <c r="V52" s="47"/>
      <c r="W52" s="47"/>
      <c r="X52" s="47"/>
    </row>
    <row r="53" spans="4:24" x14ac:dyDescent="0.25">
      <c r="D53" s="105" t="s">
        <v>35</v>
      </c>
      <c r="E53" s="105"/>
      <c r="F53" s="105"/>
      <c r="G53" s="75" t="s">
        <v>30</v>
      </c>
      <c r="I53" s="105" t="s">
        <v>34</v>
      </c>
      <c r="J53" s="105"/>
      <c r="K53" s="105"/>
      <c r="L53" s="75" t="s">
        <v>31</v>
      </c>
      <c r="N53" s="111" t="s">
        <v>36</v>
      </c>
      <c r="O53" s="111"/>
      <c r="P53" s="111"/>
      <c r="Q53" s="75" t="s">
        <v>32</v>
      </c>
      <c r="S53" s="75" t="s">
        <v>37</v>
      </c>
      <c r="T53" s="47"/>
      <c r="U53" s="47"/>
      <c r="V53" s="47"/>
      <c r="W53" s="47"/>
      <c r="X53" s="47"/>
    </row>
    <row r="54" spans="4:24" x14ac:dyDescent="0.25">
      <c r="D54" s="52">
        <v>1</v>
      </c>
      <c r="E54" s="52">
        <v>0</v>
      </c>
      <c r="F54" s="52">
        <v>0</v>
      </c>
      <c r="G54" s="72">
        <v>-72.599999999999994</v>
      </c>
      <c r="H54" s="33"/>
      <c r="I54" s="52">
        <v>-0.19020200000000001</v>
      </c>
      <c r="J54" s="52">
        <v>0.69673300000000005</v>
      </c>
      <c r="K54" s="52">
        <v>0.69165500000000002</v>
      </c>
      <c r="L54" s="72">
        <v>245.525057</v>
      </c>
      <c r="N54" s="52">
        <v>0.45171099999999997</v>
      </c>
      <c r="O54" s="52">
        <v>-0.80075499999999999</v>
      </c>
      <c r="P54" s="52">
        <v>0.39338000000000001</v>
      </c>
      <c r="Q54" s="74">
        <v>335.98722800000002</v>
      </c>
      <c r="S54" s="76">
        <v>70.919628000000003</v>
      </c>
      <c r="T54" s="47"/>
      <c r="U54" s="47"/>
      <c r="V54" s="47"/>
      <c r="W54" s="47"/>
      <c r="X54" s="47"/>
    </row>
    <row r="55" spans="4:24" x14ac:dyDescent="0.25">
      <c r="D55" s="52">
        <v>0</v>
      </c>
      <c r="E55" s="52">
        <v>1</v>
      </c>
      <c r="F55" s="52">
        <v>0</v>
      </c>
      <c r="G55" s="72">
        <v>-123.2</v>
      </c>
      <c r="H55" s="33"/>
      <c r="I55" s="52">
        <v>-0.90742299999999998</v>
      </c>
      <c r="J55" s="52">
        <v>-0.39366299999999999</v>
      </c>
      <c r="K55" s="52">
        <v>0.14701600000000001</v>
      </c>
      <c r="L55" s="72">
        <v>7.9299629999999999</v>
      </c>
      <c r="N55" s="52">
        <v>0.70823800000000003</v>
      </c>
      <c r="O55" s="52">
        <v>5.3709E-2</v>
      </c>
      <c r="P55" s="52">
        <v>-0.703928</v>
      </c>
      <c r="Q55" s="74">
        <v>-55.320321999999997</v>
      </c>
      <c r="S55" s="76">
        <v>8.9881049999999991</v>
      </c>
      <c r="T55" s="47"/>
      <c r="U55" s="47"/>
      <c r="V55" s="47"/>
      <c r="W55" s="47"/>
      <c r="X55" s="47"/>
    </row>
    <row r="56" spans="4:24" x14ac:dyDescent="0.25">
      <c r="D56" s="52">
        <v>0</v>
      </c>
      <c r="E56" s="52">
        <v>0</v>
      </c>
      <c r="F56" s="52">
        <v>1</v>
      </c>
      <c r="G56" s="72">
        <v>-41.5</v>
      </c>
      <c r="H56" s="33"/>
      <c r="I56" s="52">
        <v>0.37470999999999999</v>
      </c>
      <c r="J56" s="52">
        <v>-0.599661</v>
      </c>
      <c r="K56" s="52">
        <v>0.70710700000000004</v>
      </c>
      <c r="L56" s="72">
        <v>-69.133002000000005</v>
      </c>
      <c r="N56" s="52">
        <v>0.54254599999999997</v>
      </c>
      <c r="O56" s="52">
        <v>0.59657899999999997</v>
      </c>
      <c r="P56" s="52">
        <v>0.59138599999999997</v>
      </c>
      <c r="Q56" s="74">
        <v>-157.38467</v>
      </c>
      <c r="S56" s="76">
        <v>41.277965000000002</v>
      </c>
      <c r="T56" s="47"/>
      <c r="U56" s="47"/>
      <c r="V56" s="47"/>
      <c r="W56" s="47"/>
      <c r="X56" s="47"/>
    </row>
    <row r="57" spans="4:24" x14ac:dyDescent="0.25">
      <c r="D57" s="50">
        <v>0</v>
      </c>
      <c r="E57" s="50">
        <v>0</v>
      </c>
      <c r="F57" s="50">
        <v>0</v>
      </c>
      <c r="G57" s="88">
        <v>1</v>
      </c>
      <c r="H57" s="33"/>
      <c r="I57" s="50">
        <v>0</v>
      </c>
      <c r="J57" s="50">
        <v>0</v>
      </c>
      <c r="K57" s="50">
        <v>0</v>
      </c>
      <c r="L57" s="88">
        <v>1</v>
      </c>
      <c r="N57" s="50"/>
      <c r="O57" s="50"/>
      <c r="P57" s="50"/>
      <c r="Q57" s="76"/>
      <c r="S57" s="76"/>
      <c r="T57" s="47"/>
      <c r="U57" s="47"/>
      <c r="V57" s="47"/>
      <c r="W57" s="47"/>
      <c r="X57" s="47"/>
    </row>
    <row r="58" spans="4:24" ht="15.75" thickBot="1" x14ac:dyDescent="0.3">
      <c r="D58" s="56"/>
      <c r="E58" s="56"/>
      <c r="F58" s="56"/>
      <c r="G58" s="56"/>
      <c r="H58" s="47"/>
      <c r="I58" s="56"/>
      <c r="J58" s="56"/>
      <c r="K58" s="56"/>
      <c r="L58" s="56"/>
      <c r="M58" s="47"/>
      <c r="N58" s="56"/>
      <c r="O58" s="56"/>
      <c r="P58" s="56"/>
      <c r="Q58" s="47"/>
      <c r="S58" s="47"/>
      <c r="T58" s="47"/>
      <c r="U58" s="47"/>
      <c r="V58" s="47"/>
      <c r="W58" s="47"/>
      <c r="X58" s="47"/>
    </row>
    <row r="59" spans="4:24" ht="15.75" thickBot="1" x14ac:dyDescent="0.3">
      <c r="D59" s="106" t="s">
        <v>33</v>
      </c>
      <c r="E59" s="106"/>
      <c r="F59" s="106"/>
      <c r="G59" s="47"/>
      <c r="H59" s="47"/>
      <c r="I59" s="107" t="s">
        <v>38</v>
      </c>
      <c r="J59" s="108"/>
      <c r="K59" s="109"/>
      <c r="L59" s="47"/>
      <c r="M59" s="47"/>
      <c r="N59" s="47"/>
      <c r="O59" s="47"/>
      <c r="S59" s="47"/>
      <c r="T59" s="47"/>
      <c r="U59" s="47"/>
      <c r="V59" s="47"/>
      <c r="W59" s="47"/>
      <c r="X59" s="47"/>
    </row>
    <row r="60" spans="4:24" x14ac:dyDescent="0.25">
      <c r="D60" s="73">
        <f t="array" ref="D60:F62">MMULT(N54:P56,I54:K56)</f>
        <v>0.78811058854299998</v>
      </c>
      <c r="E60" s="73">
        <v>0.39405493154800003</v>
      </c>
      <c r="F60" s="73">
        <v>0.47286612628499997</v>
      </c>
      <c r="G60" s="47"/>
      <c r="H60" s="47"/>
      <c r="I60" s="81">
        <f t="array" ref="I60:K62">MMULT(D60:F62,D54:F56)</f>
        <v>0.78811058854299998</v>
      </c>
      <c r="J60" s="80">
        <v>0.39405493154800003</v>
      </c>
      <c r="K60" s="82">
        <v>0.47286612628499997</v>
      </c>
      <c r="L60" s="47"/>
      <c r="M60" s="47">
        <v>1</v>
      </c>
      <c r="N60" s="47">
        <v>0</v>
      </c>
      <c r="O60" s="47">
        <v>0</v>
      </c>
      <c r="P60" s="72">
        <v>245.525057</v>
      </c>
      <c r="Q60" s="54"/>
      <c r="R60" s="54"/>
      <c r="S60" s="47"/>
      <c r="T60" s="47"/>
      <c r="U60" s="47"/>
      <c r="V60" s="47"/>
      <c r="W60" s="47"/>
      <c r="X60" s="47"/>
    </row>
    <row r="61" spans="4:24" x14ac:dyDescent="0.25">
      <c r="D61" s="1">
        <v>-0.44721392686300004</v>
      </c>
      <c r="E61" s="1">
        <v>0.894427708795</v>
      </c>
      <c r="F61" s="1">
        <v>1.9938000028751901E-8</v>
      </c>
      <c r="I61" s="83">
        <v>-0.44721392686300004</v>
      </c>
      <c r="J61" s="77">
        <v>0.894427708795</v>
      </c>
      <c r="K61" s="84">
        <v>1.9938000028751901E-8</v>
      </c>
      <c r="M61" s="18">
        <v>0</v>
      </c>
      <c r="N61" s="18">
        <v>1</v>
      </c>
      <c r="O61" s="18">
        <v>0</v>
      </c>
      <c r="P61" s="72">
        <v>7.9299629999999999</v>
      </c>
    </row>
    <row r="62" spans="4:24" ht="15.75" thickBot="1" x14ac:dyDescent="0.3">
      <c r="D62" s="1">
        <v>-0.42294459214899993</v>
      </c>
      <c r="E62" s="1">
        <v>-0.21147249680499994</v>
      </c>
      <c r="F62" s="1">
        <v>0.88113449219600004</v>
      </c>
      <c r="I62" s="85">
        <v>-0.42294459214899993</v>
      </c>
      <c r="J62" s="86">
        <v>-0.21147249680499994</v>
      </c>
      <c r="K62" s="87">
        <v>0.88113449219600004</v>
      </c>
      <c r="M62" s="18">
        <v>0</v>
      </c>
      <c r="N62" s="18">
        <v>0</v>
      </c>
      <c r="O62" s="18">
        <v>1</v>
      </c>
      <c r="P62" s="72">
        <v>-69.133002000000005</v>
      </c>
    </row>
    <row r="63" spans="4:24" x14ac:dyDescent="0.25">
      <c r="M63" s="18">
        <v>0</v>
      </c>
      <c r="N63" s="18">
        <v>0</v>
      </c>
      <c r="O63" s="18">
        <v>0</v>
      </c>
      <c r="P63" s="88">
        <v>1</v>
      </c>
    </row>
    <row r="65" spans="4:22" x14ac:dyDescent="0.25">
      <c r="D65" s="105" t="s">
        <v>40</v>
      </c>
      <c r="E65" s="105"/>
      <c r="F65" s="105"/>
      <c r="I65" s="105" t="s">
        <v>41</v>
      </c>
      <c r="J65" s="105"/>
      <c r="K65" s="105"/>
      <c r="N65" s="105" t="s">
        <v>39</v>
      </c>
      <c r="O65" s="105"/>
      <c r="P65" s="105"/>
    </row>
    <row r="66" spans="4:22" x14ac:dyDescent="0.25">
      <c r="D66" s="1">
        <f t="array" ref="D66:F68">TRANSPOSE(D54:F56)</f>
        <v>1</v>
      </c>
      <c r="E66" s="1">
        <v>0</v>
      </c>
      <c r="F66" s="1">
        <v>0</v>
      </c>
      <c r="I66" s="1">
        <f t="array" ref="I66:K68">TRANSPOSE(I54:K56)</f>
        <v>-0.19020200000000001</v>
      </c>
      <c r="J66" s="1">
        <v>-0.90742299999999998</v>
      </c>
      <c r="K66" s="1">
        <v>0.37470999999999999</v>
      </c>
      <c r="N66" s="1">
        <f t="array" ref="N66:P68">TRANSPOSE(N54:P56)</f>
        <v>0.45171099999999997</v>
      </c>
      <c r="O66" s="1">
        <v>0.70823800000000003</v>
      </c>
      <c r="P66" s="1">
        <v>0.54254599999999997</v>
      </c>
    </row>
    <row r="67" spans="4:22" x14ac:dyDescent="0.25">
      <c r="D67" s="1">
        <v>0</v>
      </c>
      <c r="E67" s="1">
        <v>1</v>
      </c>
      <c r="F67" s="1">
        <v>0</v>
      </c>
      <c r="I67" s="1">
        <v>0.69673300000000005</v>
      </c>
      <c r="J67" s="1">
        <v>-0.39366299999999999</v>
      </c>
      <c r="K67" s="1">
        <v>-0.599661</v>
      </c>
      <c r="N67" s="1">
        <v>-0.80075499999999999</v>
      </c>
      <c r="O67" s="1">
        <v>5.3709E-2</v>
      </c>
      <c r="P67" s="1">
        <v>0.59657899999999997</v>
      </c>
    </row>
    <row r="68" spans="4:22" x14ac:dyDescent="0.25">
      <c r="D68" s="1">
        <v>0</v>
      </c>
      <c r="E68" s="1">
        <v>0</v>
      </c>
      <c r="F68" s="1">
        <v>1</v>
      </c>
      <c r="I68" s="1">
        <v>0.69165500000000002</v>
      </c>
      <c r="J68" s="1">
        <v>0.14701600000000001</v>
      </c>
      <c r="K68" s="1">
        <v>0.70710700000000004</v>
      </c>
      <c r="N68" s="1">
        <v>0.39338000000000001</v>
      </c>
      <c r="O68" s="1">
        <v>-0.703928</v>
      </c>
      <c r="P68" s="1">
        <v>0.59138599999999997</v>
      </c>
    </row>
    <row r="69" spans="4:22" x14ac:dyDescent="0.25">
      <c r="S69" s="52">
        <v>0.45171099999999997</v>
      </c>
      <c r="T69" s="52">
        <v>-0.80075499999999999</v>
      </c>
      <c r="U69" s="52">
        <v>0.39338000000000001</v>
      </c>
      <c r="V69" s="74">
        <v>0</v>
      </c>
    </row>
    <row r="70" spans="4:22" x14ac:dyDescent="0.25">
      <c r="S70" s="52">
        <v>0.70823800000000003</v>
      </c>
      <c r="T70" s="52">
        <v>5.3709E-2</v>
      </c>
      <c r="U70" s="52">
        <v>-0.703928</v>
      </c>
      <c r="V70" s="74">
        <v>0</v>
      </c>
    </row>
    <row r="71" spans="4:22" x14ac:dyDescent="0.25">
      <c r="E71" s="18" t="s">
        <v>47</v>
      </c>
      <c r="G71" s="18" t="s">
        <v>46</v>
      </c>
      <c r="J71" s="75" t="s">
        <v>45</v>
      </c>
      <c r="L71" s="18" t="s">
        <v>44</v>
      </c>
      <c r="O71" s="75" t="s">
        <v>43</v>
      </c>
      <c r="Q71" s="75" t="s">
        <v>42</v>
      </c>
      <c r="S71" s="52">
        <v>0.54254599999999997</v>
      </c>
      <c r="T71" s="52">
        <v>0.59657899999999997</v>
      </c>
      <c r="U71" s="52">
        <v>0.59138599999999997</v>
      </c>
      <c r="V71" s="74">
        <v>0</v>
      </c>
    </row>
    <row r="72" spans="4:22" x14ac:dyDescent="0.25">
      <c r="E72" s="78">
        <f>G54+G72</f>
        <v>134.65954907300798</v>
      </c>
      <c r="G72" s="18">
        <f>D66*J72+E66*J73+F66*J74</f>
        <v>207.25954907300797</v>
      </c>
      <c r="J72" s="18">
        <f>L54+L72</f>
        <v>207.25954907300797</v>
      </c>
      <c r="L72" s="18">
        <f>I66*O72+J66*O73+K66*O74</f>
        <v>-38.265507926992036</v>
      </c>
      <c r="O72" s="18">
        <f>Q54+Q72</f>
        <v>396.78331639138798</v>
      </c>
      <c r="Q72" s="18">
        <f>N66*S54+O66*S55+P66*S56</f>
        <v>60.796088391387997</v>
      </c>
      <c r="S72" s="50">
        <v>0</v>
      </c>
      <c r="T72" s="50">
        <v>0</v>
      </c>
      <c r="U72" s="50">
        <v>0</v>
      </c>
      <c r="V72" s="76">
        <v>1</v>
      </c>
    </row>
    <row r="73" spans="4:22" x14ac:dyDescent="0.25">
      <c r="E73" s="78">
        <f>G55+G73</f>
        <v>262.23464983940909</v>
      </c>
      <c r="G73" s="18">
        <f>D67*J72+E67*J73+F67*J74</f>
        <v>385.43464983940908</v>
      </c>
      <c r="J73" s="18">
        <f>L55+L73</f>
        <v>385.43464983940908</v>
      </c>
      <c r="L73" s="18">
        <f>I67*O72+J67*O73+K67*O74</f>
        <v>377.50468683940909</v>
      </c>
      <c r="O73" s="18">
        <f>Q55+Q73</f>
        <v>-87.001259505960007</v>
      </c>
      <c r="Q73" s="18">
        <f>N67*S54+O67*S55+P67*S56</f>
        <v>-31.680937505960003</v>
      </c>
    </row>
    <row r="74" spans="4:22" x14ac:dyDescent="0.25">
      <c r="E74" s="78">
        <f>G56+G74</f>
        <v>72.240398551795323</v>
      </c>
      <c r="G74" s="18">
        <f>D68*J72+E68*J73+F68*J74</f>
        <v>113.74039855179532</v>
      </c>
      <c r="J74" s="18">
        <f>L56+L74</f>
        <v>113.74039855179532</v>
      </c>
      <c r="L74" s="18">
        <f>I68*O72+J68*O73+K68*O74</f>
        <v>182.87340055179533</v>
      </c>
      <c r="O74" s="18">
        <f>Q56+Q74</f>
        <v>-111.40207490431</v>
      </c>
      <c r="Q74" s="18">
        <f>N68*S54+O68*S55+P68*S56</f>
        <v>45.982595095690002</v>
      </c>
    </row>
    <row r="77" spans="4:22" x14ac:dyDescent="0.25">
      <c r="D77" s="18" t="s">
        <v>48</v>
      </c>
      <c r="I77" s="18" t="s">
        <v>49</v>
      </c>
      <c r="N77" s="18" t="s">
        <v>50</v>
      </c>
      <c r="S77" s="18" t="s">
        <v>51</v>
      </c>
    </row>
    <row r="78" spans="4:22" x14ac:dyDescent="0.25">
      <c r="D78" s="48">
        <f>D54</f>
        <v>1</v>
      </c>
      <c r="E78" s="48">
        <f t="shared" ref="E78:F78" si="5">E54</f>
        <v>0</v>
      </c>
      <c r="F78" s="48">
        <f t="shared" si="5"/>
        <v>0</v>
      </c>
      <c r="G78" s="48">
        <v>0</v>
      </c>
      <c r="I78" s="89">
        <v>1</v>
      </c>
      <c r="J78" s="89">
        <v>0</v>
      </c>
      <c r="K78" s="89">
        <v>0</v>
      </c>
      <c r="L78" s="89">
        <f>G54</f>
        <v>-72.599999999999994</v>
      </c>
      <c r="N78" s="48">
        <f>I54</f>
        <v>-0.19020200000000001</v>
      </c>
      <c r="O78" s="48">
        <f t="shared" ref="O78:P81" si="6">J54</f>
        <v>0.69673300000000005</v>
      </c>
      <c r="P78" s="48">
        <f t="shared" si="6"/>
        <v>0.69165500000000002</v>
      </c>
      <c r="Q78" s="48">
        <v>0</v>
      </c>
      <c r="S78" s="89">
        <v>1</v>
      </c>
      <c r="T78" s="89">
        <v>0</v>
      </c>
      <c r="U78" s="89">
        <v>0</v>
      </c>
      <c r="V78" s="89">
        <f>L54</f>
        <v>245.525057</v>
      </c>
    </row>
    <row r="79" spans="4:22" x14ac:dyDescent="0.25">
      <c r="D79" s="48">
        <f t="shared" ref="D79:F80" si="7">D55</f>
        <v>0</v>
      </c>
      <c r="E79" s="48">
        <f t="shared" si="7"/>
        <v>1</v>
      </c>
      <c r="F79" s="48">
        <f t="shared" si="7"/>
        <v>0</v>
      </c>
      <c r="G79" s="48">
        <v>0</v>
      </c>
      <c r="I79" s="89">
        <v>0</v>
      </c>
      <c r="J79" s="89">
        <v>1</v>
      </c>
      <c r="K79" s="89">
        <v>0</v>
      </c>
      <c r="L79" s="89">
        <f t="shared" ref="L79:L80" si="8">G55</f>
        <v>-123.2</v>
      </c>
      <c r="N79" s="48">
        <f t="shared" ref="N79:N81" si="9">I55</f>
        <v>-0.90742299999999998</v>
      </c>
      <c r="O79" s="48">
        <f t="shared" si="6"/>
        <v>-0.39366299999999999</v>
      </c>
      <c r="P79" s="48">
        <f t="shared" si="6"/>
        <v>0.14701600000000001</v>
      </c>
      <c r="Q79" s="48">
        <v>0</v>
      </c>
      <c r="S79" s="89">
        <v>0</v>
      </c>
      <c r="T79" s="89">
        <v>1</v>
      </c>
      <c r="U79" s="89">
        <v>0</v>
      </c>
      <c r="V79" s="89">
        <f t="shared" ref="V79:V80" si="10">L55</f>
        <v>7.9299629999999999</v>
      </c>
    </row>
    <row r="80" spans="4:22" x14ac:dyDescent="0.25">
      <c r="D80" s="48">
        <f t="shared" si="7"/>
        <v>0</v>
      </c>
      <c r="E80" s="48">
        <f t="shared" si="7"/>
        <v>0</v>
      </c>
      <c r="F80" s="48">
        <f t="shared" si="7"/>
        <v>1</v>
      </c>
      <c r="G80" s="48">
        <v>0</v>
      </c>
      <c r="I80" s="89">
        <v>0</v>
      </c>
      <c r="J80" s="89">
        <v>0</v>
      </c>
      <c r="K80" s="89">
        <v>1</v>
      </c>
      <c r="L80" s="89">
        <f t="shared" si="8"/>
        <v>-41.5</v>
      </c>
      <c r="N80" s="48">
        <f t="shared" si="9"/>
        <v>0.37470999999999999</v>
      </c>
      <c r="O80" s="48">
        <f t="shared" si="6"/>
        <v>-0.599661</v>
      </c>
      <c r="P80" s="48">
        <f t="shared" si="6"/>
        <v>0.70710700000000004</v>
      </c>
      <c r="Q80" s="48">
        <v>0</v>
      </c>
      <c r="S80" s="89">
        <v>0</v>
      </c>
      <c r="T80" s="89">
        <v>0</v>
      </c>
      <c r="U80" s="89">
        <v>1</v>
      </c>
      <c r="V80" s="89">
        <f t="shared" si="10"/>
        <v>-69.133002000000005</v>
      </c>
    </row>
    <row r="81" spans="4:27" x14ac:dyDescent="0.25">
      <c r="D81" s="48">
        <v>0</v>
      </c>
      <c r="E81" s="48">
        <v>0</v>
      </c>
      <c r="F81" s="48">
        <v>0</v>
      </c>
      <c r="G81" s="48">
        <v>1</v>
      </c>
      <c r="I81" s="89">
        <v>0</v>
      </c>
      <c r="J81" s="89">
        <v>0</v>
      </c>
      <c r="K81" s="89">
        <v>0</v>
      </c>
      <c r="L81" s="89">
        <v>1</v>
      </c>
      <c r="N81" s="48">
        <f t="shared" si="9"/>
        <v>0</v>
      </c>
      <c r="O81" s="48">
        <f t="shared" si="6"/>
        <v>0</v>
      </c>
      <c r="P81" s="48">
        <f t="shared" si="6"/>
        <v>0</v>
      </c>
      <c r="Q81" s="48">
        <v>1</v>
      </c>
      <c r="S81" s="89">
        <v>0</v>
      </c>
      <c r="T81" s="89">
        <v>0</v>
      </c>
      <c r="U81" s="89">
        <v>0</v>
      </c>
      <c r="V81" s="89">
        <v>1</v>
      </c>
    </row>
    <row r="82" spans="4:27" x14ac:dyDescent="0.25">
      <c r="D82" s="133" t="s">
        <v>54</v>
      </c>
      <c r="E82" s="133"/>
      <c r="F82" s="133"/>
      <c r="G82" s="133"/>
      <c r="H82" s="133"/>
      <c r="I82" s="133"/>
      <c r="J82" s="133"/>
      <c r="K82" s="133"/>
      <c r="L82" s="133"/>
      <c r="M82" s="133"/>
      <c r="N82" s="133"/>
      <c r="O82" s="133"/>
      <c r="P82" s="133"/>
      <c r="Q82" s="133"/>
      <c r="R82" s="133"/>
      <c r="S82" s="133"/>
      <c r="T82" s="133"/>
      <c r="U82" s="133"/>
      <c r="V82" s="133"/>
    </row>
    <row r="83" spans="4:27" x14ac:dyDescent="0.25">
      <c r="D83" s="18" t="s">
        <v>57</v>
      </c>
      <c r="I83" s="18" t="s">
        <v>56</v>
      </c>
    </row>
    <row r="84" spans="4:27" x14ac:dyDescent="0.25">
      <c r="D84" s="90">
        <f t="array" ref="D84:G87">TRANSPOSE(N78:Q81)</f>
        <v>-0.19020200000000001</v>
      </c>
      <c r="E84" s="90">
        <v>-0.90742299999999998</v>
      </c>
      <c r="F84" s="90">
        <v>0.37470999999999999</v>
      </c>
      <c r="G84" s="90">
        <v>0</v>
      </c>
      <c r="I84" s="18">
        <f t="array" ref="I84:L87">MMULT(D84:G87,S78:V81)</f>
        <v>-0.19020200000000001</v>
      </c>
      <c r="J84" s="18">
        <v>-0.90742299999999998</v>
      </c>
      <c r="K84" s="18">
        <v>0.37470999999999999</v>
      </c>
      <c r="L84" s="18">
        <v>-79.800014886282995</v>
      </c>
      <c r="S84" s="98"/>
      <c r="T84" s="98"/>
      <c r="U84" s="98"/>
      <c r="V84" s="98"/>
    </row>
    <row r="85" spans="4:27" x14ac:dyDescent="0.25">
      <c r="D85" s="90">
        <v>0.69673300000000005</v>
      </c>
      <c r="E85" s="90">
        <v>-0.39366299999999999</v>
      </c>
      <c r="F85" s="90">
        <v>-0.599661</v>
      </c>
      <c r="G85" s="90">
        <v>0</v>
      </c>
      <c r="I85" s="18">
        <v>0.69673300000000005</v>
      </c>
      <c r="J85" s="18">
        <v>-0.39366299999999999</v>
      </c>
      <c r="K85" s="18">
        <v>-0.599661</v>
      </c>
      <c r="L85" s="18">
        <v>209.40004162663402</v>
      </c>
      <c r="S85" s="98"/>
      <c r="T85" s="98"/>
      <c r="U85" s="98"/>
      <c r="V85" s="98"/>
    </row>
    <row r="86" spans="4:27" x14ac:dyDescent="0.25">
      <c r="D86" s="90">
        <v>0.69165500000000002</v>
      </c>
      <c r="E86" s="90">
        <v>0.14701600000000001</v>
      </c>
      <c r="F86" s="90">
        <v>0.70710700000000004</v>
      </c>
      <c r="G86" s="90">
        <v>0</v>
      </c>
      <c r="I86" s="18">
        <v>0.69165500000000002</v>
      </c>
      <c r="J86" s="18">
        <v>0.14701600000000001</v>
      </c>
      <c r="K86" s="18">
        <v>0.70710700000000004</v>
      </c>
      <c r="L86" s="18">
        <v>122.10003509452901</v>
      </c>
      <c r="S86" s="98"/>
      <c r="T86" s="98"/>
      <c r="U86" s="98"/>
      <c r="V86" s="98"/>
    </row>
    <row r="87" spans="4:27" x14ac:dyDescent="0.25">
      <c r="D87" s="90">
        <v>0</v>
      </c>
      <c r="E87" s="90">
        <v>0</v>
      </c>
      <c r="F87" s="90">
        <v>0</v>
      </c>
      <c r="G87" s="90">
        <v>1</v>
      </c>
      <c r="I87" s="18">
        <v>0</v>
      </c>
      <c r="J87" s="18">
        <v>0</v>
      </c>
      <c r="K87" s="18">
        <v>0</v>
      </c>
      <c r="L87" s="18">
        <v>1</v>
      </c>
      <c r="S87" s="98"/>
      <c r="T87" s="98"/>
      <c r="U87" s="98"/>
      <c r="V87" s="98"/>
    </row>
    <row r="89" spans="4:27" x14ac:dyDescent="0.25">
      <c r="I89" s="18">
        <f t="array" ref="I89:L92">MMULT(I78:L81,I84:L87)</f>
        <v>-0.19020200000000001</v>
      </c>
      <c r="J89" s="18">
        <v>-0.90742299999999998</v>
      </c>
      <c r="K89" s="18">
        <v>0.37470999999999999</v>
      </c>
      <c r="L89" s="18">
        <v>-152.40001488628297</v>
      </c>
      <c r="N89" s="104">
        <f t="array" ref="N89:Q92">MMULT(I89:L92,N78:Q81)</f>
        <v>1.0000008858329998</v>
      </c>
      <c r="O89" s="104">
        <v>-1.2292700002358714E-7</v>
      </c>
      <c r="P89" s="104">
        <v>1.998920000079174E-7</v>
      </c>
      <c r="Q89" s="104">
        <v>-152.40001488628297</v>
      </c>
      <c r="S89" s="99">
        <f t="array" ref="S89:V92">MMULT(S69:V72,N78:Q81)</f>
        <v>0.78811058854299998</v>
      </c>
      <c r="T89" s="99">
        <v>0.39405493154800003</v>
      </c>
      <c r="U89" s="99">
        <v>0.47286612628499997</v>
      </c>
      <c r="V89" s="99">
        <v>0</v>
      </c>
    </row>
    <row r="90" spans="4:27" x14ac:dyDescent="0.25">
      <c r="D90" s="98"/>
      <c r="E90" s="98"/>
      <c r="F90" s="98"/>
      <c r="G90" s="98"/>
      <c r="I90" s="18">
        <v>0.69673300000000005</v>
      </c>
      <c r="J90" s="18">
        <v>-0.39366299999999999</v>
      </c>
      <c r="K90" s="18">
        <v>-0.599661</v>
      </c>
      <c r="L90" s="18">
        <v>86.200041626634018</v>
      </c>
      <c r="N90" s="104">
        <v>-1.2292700002358714E-7</v>
      </c>
      <c r="O90" s="104">
        <v>1.0000007457790001</v>
      </c>
      <c r="P90" s="104">
        <v>-3.872200000087922E-7</v>
      </c>
      <c r="Q90" s="104">
        <v>86.200041626634018</v>
      </c>
      <c r="S90" s="99">
        <v>-0.44721392686300004</v>
      </c>
      <c r="T90" s="99">
        <v>0.894427708795</v>
      </c>
      <c r="U90" s="99">
        <v>1.9938000028751901E-8</v>
      </c>
      <c r="V90" s="99">
        <v>0</v>
      </c>
    </row>
    <row r="91" spans="4:27" x14ac:dyDescent="0.25">
      <c r="D91" s="98"/>
      <c r="E91" s="98"/>
      <c r="F91" s="98"/>
      <c r="G91" s="98"/>
      <c r="I91" s="18">
        <v>0.69165500000000002</v>
      </c>
      <c r="J91" s="18">
        <v>0.14701600000000001</v>
      </c>
      <c r="K91" s="18">
        <v>0.70710700000000004</v>
      </c>
      <c r="L91" s="18">
        <v>80.600035094529005</v>
      </c>
      <c r="N91" s="104">
        <v>1.998920000079174E-7</v>
      </c>
      <c r="O91" s="104">
        <v>-3.872200000087922E-7</v>
      </c>
      <c r="P91" s="104">
        <v>1.0000006527300001</v>
      </c>
      <c r="Q91" s="104">
        <v>80.600035094529005</v>
      </c>
      <c r="S91" s="99">
        <v>-0.42294459214899993</v>
      </c>
      <c r="T91" s="99">
        <v>-0.21147249680499994</v>
      </c>
      <c r="U91" s="99">
        <v>0.88113449219600004</v>
      </c>
      <c r="V91" s="99">
        <v>0</v>
      </c>
    </row>
    <row r="92" spans="4:27" x14ac:dyDescent="0.25">
      <c r="D92" s="98"/>
      <c r="E92" s="98"/>
      <c r="F92" s="98"/>
      <c r="G92" s="98"/>
      <c r="I92" s="18">
        <v>0</v>
      </c>
      <c r="J92" s="18">
        <v>0</v>
      </c>
      <c r="K92" s="18">
        <v>0</v>
      </c>
      <c r="L92" s="18">
        <v>1</v>
      </c>
      <c r="N92" s="104">
        <v>0</v>
      </c>
      <c r="O92" s="104">
        <v>0</v>
      </c>
      <c r="P92" s="104">
        <v>0</v>
      </c>
      <c r="Q92" s="104">
        <v>1</v>
      </c>
      <c r="S92" s="99">
        <v>0</v>
      </c>
      <c r="T92" s="99">
        <v>0</v>
      </c>
      <c r="U92" s="99">
        <v>0</v>
      </c>
      <c r="V92" s="99">
        <v>1</v>
      </c>
    </row>
    <row r="93" spans="4:27" x14ac:dyDescent="0.25">
      <c r="D93" s="98"/>
      <c r="E93" s="98"/>
      <c r="F93" s="98"/>
      <c r="G93" s="98"/>
    </row>
    <row r="94" spans="4:27" x14ac:dyDescent="0.25">
      <c r="S94" s="135">
        <f t="array" ref="S94:V97">MMULT(N89:Q92,S89:V92)</f>
        <v>0.78811125710879282</v>
      </c>
      <c r="T94" s="135">
        <v>0.39405512839388684</v>
      </c>
      <c r="U94" s="135">
        <v>0.47286672129715263</v>
      </c>
      <c r="V94" s="135">
        <v>-152.40001488628297</v>
      </c>
    </row>
    <row r="95" spans="4:27" x14ac:dyDescent="0.25">
      <c r="S95" s="135">
        <v>-0.44721419349322061</v>
      </c>
      <c r="T95" s="135">
        <v>0.89442840928679201</v>
      </c>
      <c r="U95" s="135">
        <v>-3.7938289749477839E-7</v>
      </c>
      <c r="V95" s="135">
        <v>86.200041626634018</v>
      </c>
      <c r="X95" s="95"/>
      <c r="Y95" s="95"/>
      <c r="Z95" s="95"/>
      <c r="AA95" s="95"/>
    </row>
    <row r="96" spans="4:27" x14ac:dyDescent="0.25">
      <c r="S96" s="135">
        <v>-0.42294453751044503</v>
      </c>
      <c r="T96" s="135">
        <v>-0.21147290241131181</v>
      </c>
      <c r="U96" s="135">
        <v>0.88113516186106522</v>
      </c>
      <c r="V96" s="135">
        <v>80.600035094529005</v>
      </c>
      <c r="X96" s="95"/>
      <c r="Y96" s="95"/>
      <c r="Z96" s="95"/>
      <c r="AA96" s="95"/>
    </row>
    <row r="97" spans="4:27" x14ac:dyDescent="0.25">
      <c r="S97" s="135">
        <v>0</v>
      </c>
      <c r="T97" s="135">
        <v>0</v>
      </c>
      <c r="U97" s="135">
        <v>0</v>
      </c>
      <c r="V97" s="135">
        <v>1</v>
      </c>
      <c r="X97" s="95"/>
      <c r="Y97" s="95"/>
      <c r="Z97" s="95"/>
      <c r="AA97" s="95"/>
    </row>
    <row r="98" spans="4:27" x14ac:dyDescent="0.25">
      <c r="X98" s="95"/>
      <c r="Y98" s="95"/>
      <c r="Z98" s="95"/>
      <c r="AA98" s="95"/>
    </row>
    <row r="99" spans="4:27" x14ac:dyDescent="0.25">
      <c r="D99" s="133" t="s">
        <v>55</v>
      </c>
      <c r="E99" s="134"/>
      <c r="F99" s="134"/>
      <c r="G99" s="134"/>
      <c r="H99" s="134"/>
      <c r="I99" s="134"/>
      <c r="J99" s="134"/>
      <c r="K99" s="134"/>
      <c r="L99" s="134"/>
      <c r="M99" s="134"/>
      <c r="N99" s="134"/>
      <c r="O99" s="134"/>
      <c r="P99" s="134"/>
      <c r="Q99" s="134"/>
      <c r="R99" s="134"/>
      <c r="S99" s="134"/>
      <c r="T99" s="134"/>
      <c r="U99" s="134"/>
      <c r="V99" s="134"/>
    </row>
    <row r="100" spans="4:27" x14ac:dyDescent="0.25">
      <c r="N100" s="94"/>
      <c r="O100" s="94"/>
      <c r="P100" s="94"/>
      <c r="Q100" s="94"/>
    </row>
    <row r="101" spans="4:27" x14ac:dyDescent="0.25">
      <c r="N101" s="94"/>
      <c r="O101" s="94"/>
      <c r="P101" s="94"/>
      <c r="Q101" s="94"/>
    </row>
    <row r="102" spans="4:27" x14ac:dyDescent="0.25">
      <c r="N102" s="103"/>
      <c r="O102" s="103"/>
      <c r="P102" s="103"/>
      <c r="Q102" s="103"/>
      <c r="S102" s="104"/>
      <c r="T102" s="104"/>
      <c r="U102" s="104"/>
      <c r="V102" s="104"/>
    </row>
    <row r="103" spans="4:27" x14ac:dyDescent="0.25">
      <c r="N103" s="103"/>
      <c r="O103" s="103"/>
      <c r="P103" s="103"/>
      <c r="Q103" s="103"/>
      <c r="S103" s="104"/>
      <c r="T103" s="104"/>
      <c r="U103" s="104"/>
      <c r="V103" s="104"/>
    </row>
    <row r="104" spans="4:27" x14ac:dyDescent="0.25">
      <c r="N104" s="103"/>
      <c r="O104" s="103"/>
      <c r="P104" s="103"/>
      <c r="Q104" s="103"/>
      <c r="S104" s="104"/>
      <c r="T104" s="104"/>
      <c r="U104" s="104"/>
      <c r="V104" s="104"/>
    </row>
    <row r="105" spans="4:27" x14ac:dyDescent="0.25">
      <c r="N105" s="103"/>
      <c r="O105" s="103"/>
      <c r="P105" s="103"/>
      <c r="Q105" s="103"/>
      <c r="S105" s="104"/>
      <c r="T105" s="104"/>
      <c r="U105" s="104"/>
      <c r="V105" s="104"/>
    </row>
  </sheetData>
  <mergeCells count="33">
    <mergeCell ref="D99:V99"/>
    <mergeCell ref="D59:F59"/>
    <mergeCell ref="I59:K59"/>
    <mergeCell ref="D65:F65"/>
    <mergeCell ref="I65:K65"/>
    <mergeCell ref="N65:P65"/>
    <mergeCell ref="D82:V82"/>
    <mergeCell ref="C32:E32"/>
    <mergeCell ref="G32:I32"/>
    <mergeCell ref="U35:W35"/>
    <mergeCell ref="Z35:AB35"/>
    <mergeCell ref="AE35:AG35"/>
    <mergeCell ref="D53:F53"/>
    <mergeCell ref="I53:K53"/>
    <mergeCell ref="N53:P53"/>
    <mergeCell ref="Z13:AB13"/>
    <mergeCell ref="G19:M19"/>
    <mergeCell ref="G21:I21"/>
    <mergeCell ref="K21:M21"/>
    <mergeCell ref="O21:Q21"/>
    <mergeCell ref="C22:E22"/>
    <mergeCell ref="B9:E9"/>
    <mergeCell ref="G9:M9"/>
    <mergeCell ref="B11:E11"/>
    <mergeCell ref="G11:I11"/>
    <mergeCell ref="K11:M11"/>
    <mergeCell ref="U13:W13"/>
    <mergeCell ref="B1:N1"/>
    <mergeCell ref="B2:N2"/>
    <mergeCell ref="B3:N3"/>
    <mergeCell ref="B4:N4"/>
    <mergeCell ref="B5:N5"/>
    <mergeCell ref="B6:N6"/>
  </mergeCells>
  <hyperlinks>
    <hyperlink ref="B6" r:id="rId1"/>
  </hyperlinks>
  <pageMargins left="0.7" right="0.7" top="0.75" bottom="0.75" header="0.3" footer="0.3"/>
  <pageSetup orientation="portrait" r:id="rId2"/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Reverse Matrix</vt:lpstr>
      <vt:lpstr>Recalculation</vt:lpstr>
      <vt:lpstr>Recalculation old</vt:lpstr>
      <vt:lpstr>Reverse Matrix (2)</vt:lpstr>
      <vt:lpstr>Reverse Matrix (3)</vt:lpstr>
    </vt:vector>
  </TitlesOfParts>
  <Company>Tenneco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Miroslaw Dyduch</dc:creator>
  <cp:lastModifiedBy>Mirek</cp:lastModifiedBy>
  <dcterms:created xsi:type="dcterms:W3CDTF">2016-07-25T18:06:19Z</dcterms:created>
  <dcterms:modified xsi:type="dcterms:W3CDTF">2018-08-22T11:28:45Z</dcterms:modified>
</cp:coreProperties>
</file>