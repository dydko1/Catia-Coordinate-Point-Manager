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mirodydu\Desktop\Euler\"/>
    </mc:Choice>
  </mc:AlternateContent>
  <bookViews>
    <workbookView xWindow="480" yWindow="255" windowWidth="27795" windowHeight="14445"/>
  </bookViews>
  <sheets>
    <sheet name="Recalculation" sheetId="1" r:id="rId1"/>
    <sheet name="Pictures" sheetId="2" r:id="rId2"/>
    <sheet name="Import" sheetId="3" r:id="rId3"/>
    <sheet name="Arkusz2" sheetId="4" r:id="rId4"/>
  </sheets>
  <functionGroups builtInGroupCount="18"/>
  <definedNames>
    <definedName name="GENERAL_Left">Pictures!#REF!</definedName>
  </definedNames>
  <calcPr calcId="162913"/>
</workbook>
</file>

<file path=xl/calcChain.xml><?xml version="1.0" encoding="utf-8"?>
<calcChain xmlns="http://schemas.openxmlformats.org/spreadsheetml/2006/main">
  <c r="E125" i="1" l="1"/>
  <c r="E21" i="4"/>
  <c r="D21" i="4"/>
  <c r="C21" i="4"/>
  <c r="E20" i="4"/>
  <c r="D20" i="4"/>
  <c r="C20" i="4"/>
  <c r="E19" i="4"/>
  <c r="C19" i="4"/>
  <c r="D19" i="4"/>
  <c r="B17" i="4"/>
  <c r="L22" i="4" l="1"/>
  <c r="J25" i="4"/>
  <c r="I25" i="4"/>
  <c r="H25" i="4"/>
  <c r="J24" i="4"/>
  <c r="I24" i="4"/>
  <c r="H24" i="4"/>
  <c r="L24" i="4" s="1"/>
  <c r="J23" i="4"/>
  <c r="I23" i="4"/>
  <c r="H23" i="4"/>
  <c r="N23" i="4" s="1"/>
  <c r="J22" i="4"/>
  <c r="I22" i="4"/>
  <c r="H22" i="4"/>
  <c r="N15" i="4"/>
  <c r="M15" i="4"/>
  <c r="L15" i="4"/>
  <c r="N14" i="4"/>
  <c r="M14" i="4"/>
  <c r="L14" i="4"/>
  <c r="N13" i="4"/>
  <c r="M13" i="4"/>
  <c r="L13" i="4"/>
  <c r="N12" i="4"/>
  <c r="M12" i="4"/>
  <c r="L12" i="4"/>
  <c r="N25" i="4" l="1"/>
  <c r="N24" i="4"/>
  <c r="M24" i="4"/>
  <c r="N22" i="4"/>
  <c r="L23" i="4"/>
  <c r="L25" i="4"/>
  <c r="M22" i="4"/>
  <c r="M23" i="4"/>
  <c r="M25" i="4"/>
  <c r="K13" i="1"/>
  <c r="AC32" i="1" l="1"/>
  <c r="AB39" i="1" s="1"/>
  <c r="AB38" i="1" l="1"/>
  <c r="AC38" i="1"/>
  <c r="AC39" i="1"/>
  <c r="AE33" i="1"/>
  <c r="AE35" i="1"/>
  <c r="G24" i="1"/>
  <c r="H24" i="1"/>
  <c r="I24" i="1"/>
  <c r="G25" i="1"/>
  <c r="H25" i="1"/>
  <c r="I25" i="1"/>
  <c r="G26" i="1"/>
  <c r="M26" i="1" s="1"/>
  <c r="H26" i="1"/>
  <c r="I26" i="1"/>
  <c r="I23" i="1"/>
  <c r="H23" i="1"/>
  <c r="G23" i="1"/>
  <c r="K14" i="1"/>
  <c r="L14" i="1"/>
  <c r="M14" i="1"/>
  <c r="K15" i="1"/>
  <c r="L15" i="1"/>
  <c r="M15" i="1"/>
  <c r="K16" i="1"/>
  <c r="L16" i="1"/>
  <c r="M16" i="1"/>
  <c r="M13" i="1"/>
  <c r="L13" i="1"/>
  <c r="K24" i="1" l="1"/>
  <c r="M24" i="1"/>
  <c r="K25" i="1"/>
  <c r="M25" i="1"/>
  <c r="L24" i="1"/>
  <c r="AE34" i="1"/>
  <c r="L25" i="1"/>
  <c r="K26" i="1"/>
  <c r="L26" i="1"/>
  <c r="M23" i="1"/>
  <c r="L23" i="1"/>
  <c r="K23" i="1"/>
  <c r="D123" i="1" l="1"/>
  <c r="E123" i="1" s="1"/>
  <c r="D125" i="1" l="1"/>
  <c r="D124" i="1"/>
  <c r="E124" i="1" s="1"/>
  <c r="W33" i="1" l="1"/>
  <c r="C32" i="1" l="1"/>
  <c r="E33" i="1" s="1"/>
  <c r="L32" i="1"/>
  <c r="K39" i="1" s="1"/>
  <c r="U32" i="1"/>
  <c r="N35" i="1"/>
  <c r="V40" i="1" l="1"/>
  <c r="U40" i="1"/>
  <c r="V39" i="1"/>
  <c r="K38" i="1"/>
  <c r="L39" i="1"/>
  <c r="U39" i="1"/>
  <c r="L38" i="1"/>
  <c r="N33" i="1" s="1"/>
  <c r="E34" i="1"/>
  <c r="E36" i="1" s="1"/>
  <c r="K68" i="1"/>
  <c r="J71" i="1" s="1"/>
  <c r="G68" i="1"/>
  <c r="H73" i="1" s="1"/>
  <c r="C68" i="1"/>
  <c r="C72" i="1" s="1"/>
  <c r="W35" i="1" l="1"/>
  <c r="W34" i="1"/>
  <c r="N34" i="1"/>
  <c r="E35" i="1"/>
  <c r="G72" i="1"/>
  <c r="H72" i="1"/>
  <c r="G73" i="1"/>
  <c r="K71" i="1"/>
  <c r="J72" i="1"/>
  <c r="K72" i="1"/>
  <c r="B71" i="1"/>
  <c r="C71" i="1"/>
  <c r="B72" i="1"/>
  <c r="B76" i="1" l="1" a="1"/>
  <c r="C78" i="1" s="1"/>
  <c r="D78" i="1" l="1"/>
  <c r="B77" i="1"/>
  <c r="D77" i="1"/>
  <c r="B76" i="1"/>
  <c r="C76" i="1"/>
  <c r="D76" i="1"/>
  <c r="B78" i="1"/>
  <c r="C77" i="1"/>
  <c r="F76" i="1" l="1" a="1"/>
  <c r="H78" i="1" s="1"/>
  <c r="F78" i="1" l="1"/>
  <c r="F76" i="1"/>
  <c r="G78" i="1"/>
  <c r="H76" i="1"/>
  <c r="G77" i="1"/>
  <c r="H77" i="1"/>
  <c r="F77" i="1"/>
  <c r="G76" i="1"/>
  <c r="E82" i="1" l="1"/>
  <c r="E81" i="1"/>
  <c r="E83" i="1"/>
</calcChain>
</file>

<file path=xl/comments1.xml><?xml version="1.0" encoding="utf-8"?>
<comments xmlns="http://schemas.openxmlformats.org/spreadsheetml/2006/main">
  <authors>
    <author>Miroslaw Dyduch</author>
  </authors>
  <commentList>
    <comment ref="D67" authorId="0" shapeId="0">
      <text>
        <r>
          <rPr>
            <b/>
            <sz val="9"/>
            <color indexed="81"/>
            <rFont val="Tahoma"/>
            <family val="2"/>
          </rPr>
          <t>Miroslaw Dyduch:</t>
        </r>
        <r>
          <rPr>
            <sz val="9"/>
            <color indexed="81"/>
            <rFont val="Tahoma"/>
            <family val="2"/>
          </rPr>
          <t xml:space="preserve">
Precession</t>
        </r>
      </text>
    </comment>
    <comment ref="H67" authorId="0" shapeId="0">
      <text>
        <r>
          <rPr>
            <b/>
            <sz val="9"/>
            <color indexed="81"/>
            <rFont val="Tahoma"/>
            <family val="2"/>
          </rPr>
          <t>Miroslaw Dyduch:</t>
        </r>
        <r>
          <rPr>
            <sz val="9"/>
            <color indexed="81"/>
            <rFont val="Tahoma"/>
            <family val="2"/>
          </rPr>
          <t xml:space="preserve">
Nutation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Miroslaw Dyduch:</t>
        </r>
        <r>
          <rPr>
            <sz val="9"/>
            <color indexed="81"/>
            <rFont val="Tahoma"/>
            <family val="2"/>
          </rPr>
          <t xml:space="preserve">
Rotation (Spin)</t>
        </r>
      </text>
    </comment>
    <comment ref="E119" authorId="0" shapeId="0">
      <text>
        <r>
          <rPr>
            <b/>
            <sz val="9"/>
            <color indexed="81"/>
            <rFont val="Tahoma"/>
            <family val="2"/>
          </rPr>
          <t>Miroslaw Dyduch:</t>
        </r>
        <r>
          <rPr>
            <sz val="9"/>
            <color indexed="81"/>
            <rFont val="Tahoma"/>
            <family val="2"/>
          </rPr>
          <t xml:space="preserve">
Y1z</t>
        </r>
      </text>
    </comment>
    <comment ref="D120" authorId="0" shapeId="0">
      <text>
        <r>
          <rPr>
            <b/>
            <sz val="9"/>
            <color indexed="81"/>
            <rFont val="Tahoma"/>
            <family val="2"/>
          </rPr>
          <t>Miroslaw Dyduch:</t>
        </r>
        <r>
          <rPr>
            <sz val="9"/>
            <color indexed="81"/>
            <rFont val="Tahoma"/>
            <family val="2"/>
          </rPr>
          <t xml:space="preserve">
Z1y</t>
        </r>
      </text>
    </comment>
    <comment ref="E120" authorId="0" shapeId="0">
      <text>
        <r>
          <rPr>
            <b/>
            <sz val="9"/>
            <color indexed="81"/>
            <rFont val="Tahoma"/>
            <family val="2"/>
          </rPr>
          <t>Miroslaw Dyduch:</t>
        </r>
        <r>
          <rPr>
            <sz val="9"/>
            <color indexed="81"/>
            <rFont val="Tahoma"/>
            <family val="2"/>
          </rPr>
          <t xml:space="preserve">
Z1z</t>
        </r>
      </text>
    </comment>
  </commentList>
</comments>
</file>

<file path=xl/sharedStrings.xml><?xml version="1.0" encoding="utf-8"?>
<sst xmlns="http://schemas.openxmlformats.org/spreadsheetml/2006/main" count="247" uniqueCount="89">
  <si>
    <t>Kąt [deg]</t>
  </si>
  <si>
    <t>Rad [rad]</t>
  </si>
  <si>
    <t>x</t>
  </si>
  <si>
    <t>y</t>
  </si>
  <si>
    <t>x'</t>
  </si>
  <si>
    <t>y'</t>
  </si>
  <si>
    <t>Długość wektora</t>
  </si>
  <si>
    <t>Kąt X [deg]</t>
  </si>
  <si>
    <t>z</t>
  </si>
  <si>
    <t>D</t>
  </si>
  <si>
    <t>z'</t>
  </si>
  <si>
    <t>https://pl.wikibooks.org/wiki/Metody_matematyczne_fizyki/Obr%C3%B3t_uk%C5%82adu_wsp%C3%B3%C5%82rz%C4%99dnych</t>
  </si>
  <si>
    <t>http://mathworld.wolfram.com/EulerAngles.html</t>
  </si>
  <si>
    <t>C</t>
  </si>
  <si>
    <t>theta</t>
  </si>
  <si>
    <t>B</t>
  </si>
  <si>
    <t>psi</t>
  </si>
  <si>
    <t>B*C</t>
  </si>
  <si>
    <t>(B*C)*D</t>
  </si>
  <si>
    <t>phi</t>
  </si>
  <si>
    <t>X1</t>
  </si>
  <si>
    <t>Y1</t>
  </si>
  <si>
    <t>Z1</t>
  </si>
  <si>
    <t>rot</t>
  </si>
  <si>
    <t>rad</t>
  </si>
  <si>
    <t>deg</t>
  </si>
  <si>
    <t>https://en.wikipedia.org/wiki/Euler_angles</t>
  </si>
  <si>
    <t>https://pl.wikipedia.org/wiki/Macierz_obrotu</t>
  </si>
  <si>
    <t xml:space="preserve">3D Point rotated (example-phi,  theta and psi angles) </t>
  </si>
  <si>
    <t>E2</t>
  </si>
  <si>
    <t>Z2</t>
  </si>
  <si>
    <t>E1</t>
  </si>
  <si>
    <t>D2</t>
  </si>
  <si>
    <t>D1</t>
  </si>
  <si>
    <t>C4</t>
  </si>
  <si>
    <t>C2</t>
  </si>
  <si>
    <t>C1</t>
  </si>
  <si>
    <t>B2</t>
  </si>
  <si>
    <t>B1</t>
  </si>
  <si>
    <t>A3</t>
  </si>
  <si>
    <t>A2</t>
  </si>
  <si>
    <t>A1</t>
  </si>
  <si>
    <t>Z</t>
  </si>
  <si>
    <t>Y</t>
  </si>
  <si>
    <t>X</t>
  </si>
  <si>
    <t>Name</t>
  </si>
  <si>
    <t>NEW COORDINATES</t>
  </si>
  <si>
    <t>OLD COORDINATES</t>
  </si>
  <si>
    <t>F8</t>
  </si>
  <si>
    <t>F7</t>
  </si>
  <si>
    <t>F6</t>
  </si>
  <si>
    <t>F5</t>
  </si>
  <si>
    <t>F4</t>
  </si>
  <si>
    <t>F3</t>
  </si>
  <si>
    <t>F2</t>
  </si>
  <si>
    <t>F1</t>
  </si>
  <si>
    <t>Point.3</t>
  </si>
  <si>
    <t>COORDINATES</t>
  </si>
  <si>
    <t>A4</t>
  </si>
  <si>
    <t>x"</t>
  </si>
  <si>
    <t>y"</t>
  </si>
  <si>
    <t>Global coordinates</t>
  </si>
  <si>
    <t>Local coordinates</t>
  </si>
  <si>
    <t>Rotation matrix</t>
  </si>
  <si>
    <t>A1'</t>
  </si>
  <si>
    <t>A2'</t>
  </si>
  <si>
    <t>A3'</t>
  </si>
  <si>
    <t>A4'</t>
  </si>
  <si>
    <t>3d coordinates</t>
  </si>
  <si>
    <t>A1'-A1'</t>
  </si>
  <si>
    <t>A2'-A1'</t>
  </si>
  <si>
    <t>A3'-A1'</t>
  </si>
  <si>
    <t>A4'-A1'</t>
  </si>
  <si>
    <t>Coordinate computation</t>
  </si>
  <si>
    <t>Coordinates shifted</t>
  </si>
  <si>
    <t>z"</t>
  </si>
  <si>
    <t>Point coordinates computation</t>
  </si>
  <si>
    <t>Angles computtations from matrix</t>
  </si>
  <si>
    <t>Poniera punkty z Geometrical Seta</t>
  </si>
  <si>
    <t>http://170.64.108.154/cd2/Catiav5r24doc/English/online/CATIA_P3_search.htm</t>
  </si>
  <si>
    <t>CAA V5 for CATIA - Getting Started - Dassault Systèmes</t>
  </si>
  <si>
    <t>https://pl.wikipedia.org/wiki/Macierz_obrotu, http://www.dimmension3.spine.pl/modules.php?name=Tutorials&amp;wtd=show_tutorial&amp;nr=19</t>
  </si>
  <si>
    <t>2D Point rotated,</t>
  </si>
  <si>
    <t>Example 1</t>
  </si>
  <si>
    <t xml:space="preserve"> </t>
  </si>
  <si>
    <t>Example 2</t>
  </si>
  <si>
    <t>Example 3</t>
  </si>
  <si>
    <t>Example 4</t>
  </si>
  <si>
    <t>Section view G-G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</si>
</sst>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"/>
  </numFmts>
  <fonts count="1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30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u/>
      <sz val="11"/>
      <color theme="10"/>
      <name val="Calibri"/>
      <family val="2"/>
      <charset val="23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9" fillId="0" borderId="0"/>
    <xf numFmtId="0" fontId="12" fillId="0" borderId="0" applyNumberFormat="0" applyFill="0" applyBorder="0" applyAlignment="0" applyProtection="0"/>
  </cellStyleXfs>
  <cellXfs count="149">
    <xf numFmtId="0" fontId="0" fillId="0" borderId="0" xfId="0"/>
    <xf numFmtId="0" fontId="0" fillId="0" borderId="1" xfId="0" applyFill="1" applyBorder="1"/>
    <xf numFmtId="0" fontId="0" fillId="0" borderId="1" xfId="0" applyBorder="1"/>
    <xf numFmtId="0" fontId="3" fillId="0" borderId="0" xfId="0" applyFont="1" applyFill="1"/>
    <xf numFmtId="0" fontId="0" fillId="0" borderId="0" xfId="0" applyAlignment="1">
      <alignment horizontal="center" vertical="center"/>
    </xf>
    <xf numFmtId="0" fontId="6" fillId="0" borderId="3" xfId="0" applyNumberFormat="1" applyFont="1" applyBorder="1"/>
    <xf numFmtId="0" fontId="6" fillId="0" borderId="2" xfId="0" applyNumberFormat="1" applyFont="1" applyBorder="1"/>
    <xf numFmtId="0" fontId="6" fillId="0" borderId="4" xfId="0" applyNumberFormat="1" applyFont="1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4" borderId="0" xfId="0" applyFill="1" applyBorder="1"/>
    <xf numFmtId="0" fontId="7" fillId="0" borderId="0" xfId="0" applyFont="1" applyBorder="1"/>
    <xf numFmtId="0" fontId="0" fillId="0" borderId="0" xfId="0" applyFont="1" applyAlignme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ill="1" applyBorder="1"/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164" fontId="7" fillId="0" borderId="0" xfId="0" applyNumberFormat="1" applyFont="1" applyBorder="1" applyAlignment="1">
      <alignment horizontal="right"/>
    </xf>
    <xf numFmtId="0" fontId="0" fillId="0" borderId="0" xfId="0" applyBorder="1" applyAlignment="1">
      <alignment horizontal="center"/>
    </xf>
    <xf numFmtId="164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Border="1" applyAlignment="1">
      <alignment horizontal="left" vertical="center"/>
    </xf>
    <xf numFmtId="164" fontId="7" fillId="0" borderId="0" xfId="0" applyNumberFormat="1" applyFont="1" applyBorder="1" applyAlignment="1">
      <alignment horizontal="center" vertical="center"/>
    </xf>
    <xf numFmtId="0" fontId="0" fillId="5" borderId="0" xfId="0" applyFill="1" applyBorder="1" applyAlignment="1">
      <alignment horizontal="right" vertical="center"/>
    </xf>
    <xf numFmtId="0" fontId="0" fillId="5" borderId="0" xfId="0" applyFill="1" applyBorder="1"/>
    <xf numFmtId="0" fontId="0" fillId="5" borderId="6" xfId="0" applyFill="1" applyBorder="1" applyAlignment="1">
      <alignment horizontal="right" vertical="center"/>
    </xf>
    <xf numFmtId="0" fontId="0" fillId="2" borderId="0" xfId="0" applyFill="1" applyBorder="1" applyAlignment="1">
      <alignment horizontal="center" vertical="center"/>
    </xf>
    <xf numFmtId="0" fontId="3" fillId="0" borderId="11" xfId="0" applyFont="1" applyFill="1" applyBorder="1"/>
    <xf numFmtId="0" fontId="3" fillId="0" borderId="12" xfId="0" applyFont="1" applyFill="1" applyBorder="1"/>
    <xf numFmtId="0" fontId="7" fillId="0" borderId="15" xfId="0" applyFont="1" applyBorder="1"/>
    <xf numFmtId="0" fontId="0" fillId="0" borderId="16" xfId="0" applyBorder="1"/>
    <xf numFmtId="164" fontId="1" fillId="3" borderId="17" xfId="0" applyNumberFormat="1" applyFont="1" applyFill="1" applyBorder="1"/>
    <xf numFmtId="0" fontId="7" fillId="0" borderId="18" xfId="0" applyFont="1" applyBorder="1"/>
    <xf numFmtId="164" fontId="1" fillId="3" borderId="19" xfId="0" applyNumberFormat="1" applyFont="1" applyFill="1" applyBorder="1"/>
    <xf numFmtId="0" fontId="7" fillId="0" borderId="20" xfId="0" applyFont="1" applyBorder="1"/>
    <xf numFmtId="0" fontId="0" fillId="0" borderId="21" xfId="0" applyBorder="1"/>
    <xf numFmtId="164" fontId="1" fillId="3" borderId="22" xfId="0" applyNumberFormat="1" applyFont="1" applyFill="1" applyBorder="1"/>
    <xf numFmtId="0" fontId="1" fillId="0" borderId="6" xfId="0" applyFont="1" applyBorder="1" applyAlignment="1">
      <alignment horizontal="center" vertical="center"/>
    </xf>
    <xf numFmtId="0" fontId="1" fillId="0" borderId="8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0" fillId="0" borderId="18" xfId="0" applyFill="1" applyBorder="1"/>
    <xf numFmtId="0" fontId="2" fillId="0" borderId="8" xfId="0" applyFont="1" applyBorder="1"/>
    <xf numFmtId="0" fontId="1" fillId="0" borderId="0" xfId="0" applyFont="1" applyBorder="1"/>
    <xf numFmtId="0" fontId="0" fillId="0" borderId="18" xfId="0" applyBorder="1"/>
    <xf numFmtId="0" fontId="0" fillId="5" borderId="16" xfId="0" applyFill="1" applyBorder="1"/>
    <xf numFmtId="0" fontId="0" fillId="5" borderId="1" xfId="0" applyFill="1" applyBorder="1"/>
    <xf numFmtId="0" fontId="0" fillId="5" borderId="21" xfId="0" applyFill="1" applyBorder="1"/>
    <xf numFmtId="0" fontId="0" fillId="5" borderId="6" xfId="0" applyFill="1" applyBorder="1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165" fontId="0" fillId="0" borderId="1" xfId="0" applyNumberFormat="1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0" xfId="0" applyAlignment="1">
      <alignment horizontal="left"/>
    </xf>
    <xf numFmtId="0" fontId="0" fillId="0" borderId="0" xfId="0"/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vertical="center" shrinkToFit="1"/>
    </xf>
    <xf numFmtId="0" fontId="1" fillId="0" borderId="1" xfId="0" applyFont="1" applyBorder="1" applyAlignment="1">
      <alignment vertical="center" shrinkToFit="1"/>
    </xf>
    <xf numFmtId="0" fontId="0" fillId="0" borderId="1" xfId="0" applyBorder="1" applyAlignment="1">
      <alignment horizontal="right" vertical="center"/>
    </xf>
    <xf numFmtId="2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/>
    <xf numFmtId="0" fontId="0" fillId="0" borderId="0" xfId="0" applyBorder="1" applyAlignment="1"/>
    <xf numFmtId="0" fontId="0" fillId="0" borderId="6" xfId="0" applyBorder="1" applyAlignment="1"/>
    <xf numFmtId="0" fontId="3" fillId="0" borderId="25" xfId="0" applyFont="1" applyFill="1" applyBorder="1"/>
    <xf numFmtId="2" fontId="1" fillId="0" borderId="0" xfId="0" applyNumberFormat="1" applyFont="1" applyBorder="1" applyAlignment="1">
      <alignment horizontal="center"/>
    </xf>
    <xf numFmtId="0" fontId="0" fillId="4" borderId="24" xfId="0" applyFill="1" applyBorder="1"/>
    <xf numFmtId="0" fontId="0" fillId="0" borderId="0" xfId="0"/>
    <xf numFmtId="0" fontId="0" fillId="0" borderId="0" xfId="0" applyBorder="1"/>
    <xf numFmtId="0" fontId="3" fillId="0" borderId="0" xfId="0" applyFont="1" applyFill="1" applyBorder="1"/>
    <xf numFmtId="49" fontId="9" fillId="4" borderId="0" xfId="1" applyNumberFormat="1" applyFill="1"/>
    <xf numFmtId="49" fontId="9" fillId="4" borderId="0" xfId="1" applyNumberFormat="1" applyFill="1" applyAlignment="1">
      <alignment horizontal="left"/>
    </xf>
    <xf numFmtId="49" fontId="10" fillId="7" borderId="1" xfId="1" quotePrefix="1" applyNumberFormat="1" applyFont="1" applyFill="1" applyBorder="1" applyAlignment="1">
      <alignment horizontal="center"/>
    </xf>
    <xf numFmtId="0" fontId="10" fillId="8" borderId="1" xfId="1" quotePrefix="1" applyNumberFormat="1" applyFont="1" applyFill="1" applyBorder="1" applyAlignment="1">
      <alignment horizontal="center"/>
    </xf>
    <xf numFmtId="49" fontId="10" fillId="8" borderId="1" xfId="1" quotePrefix="1" applyNumberFormat="1" applyFont="1" applyFill="1" applyBorder="1" applyAlignment="1">
      <alignment horizontal="center"/>
    </xf>
    <xf numFmtId="0" fontId="10" fillId="4" borderId="1" xfId="1" quotePrefix="1" applyNumberFormat="1" applyFont="1" applyFill="1" applyBorder="1" applyAlignment="1">
      <alignment horizontal="center"/>
    </xf>
    <xf numFmtId="49" fontId="10" fillId="4" borderId="1" xfId="1" quotePrefix="1" applyNumberFormat="1" applyFont="1" applyFill="1" applyBorder="1" applyAlignment="1">
      <alignment horizontal="center"/>
    </xf>
    <xf numFmtId="49" fontId="10" fillId="9" borderId="1" xfId="1" quotePrefix="1" applyNumberFormat="1" applyFont="1" applyFill="1" applyBorder="1" applyAlignment="1">
      <alignment horizontal="center"/>
    </xf>
    <xf numFmtId="0" fontId="10" fillId="7" borderId="1" xfId="1" quotePrefix="1" applyNumberFormat="1" applyFont="1" applyFill="1" applyBorder="1" applyAlignment="1">
      <alignment horizontal="center"/>
    </xf>
    <xf numFmtId="0" fontId="11" fillId="4" borderId="1" xfId="1" quotePrefix="1" applyNumberFormat="1" applyFont="1" applyFill="1" applyBorder="1" applyAlignment="1">
      <alignment horizontal="center"/>
    </xf>
    <xf numFmtId="49" fontId="11" fillId="4" borderId="1" xfId="1" quotePrefix="1" applyNumberFormat="1" applyFont="1" applyFill="1" applyBorder="1" applyAlignment="1">
      <alignment horizontal="center"/>
    </xf>
    <xf numFmtId="0" fontId="10" fillId="10" borderId="1" xfId="1" quotePrefix="1" applyNumberFormat="1" applyFont="1" applyFill="1" applyBorder="1" applyAlignment="1">
      <alignment horizontal="center"/>
    </xf>
    <xf numFmtId="0" fontId="10" fillId="3" borderId="1" xfId="1" quotePrefix="1" applyNumberFormat="1" applyFont="1" applyFill="1" applyBorder="1" applyAlignment="1">
      <alignment horizontal="center"/>
    </xf>
    <xf numFmtId="49" fontId="10" fillId="10" borderId="1" xfId="1" quotePrefix="1" applyNumberFormat="1" applyFont="1" applyFill="1" applyBorder="1" applyAlignment="1">
      <alignment horizontal="center"/>
    </xf>
    <xf numFmtId="0" fontId="10" fillId="4" borderId="0" xfId="1" quotePrefix="1" applyNumberFormat="1" applyFont="1" applyFill="1" applyBorder="1" applyAlignment="1">
      <alignment horizontal="center"/>
    </xf>
    <xf numFmtId="49" fontId="10" fillId="4" borderId="0" xfId="1" applyNumberFormat="1" applyFont="1" applyFill="1"/>
    <xf numFmtId="0" fontId="10" fillId="9" borderId="1" xfId="1" quotePrefix="1" applyNumberFormat="1" applyFont="1" applyFill="1" applyBorder="1" applyAlignment="1">
      <alignment horizontal="center"/>
    </xf>
    <xf numFmtId="49" fontId="10" fillId="4" borderId="1" xfId="1" quotePrefix="1" applyNumberFormat="1" applyFont="1" applyFill="1" applyBorder="1" applyAlignment="1">
      <alignment horizontal="left"/>
    </xf>
    <xf numFmtId="49" fontId="10" fillId="4" borderId="0" xfId="1" quotePrefix="1" applyNumberFormat="1" applyFont="1" applyFill="1" applyBorder="1" applyAlignment="1">
      <alignment horizontal="left"/>
    </xf>
    <xf numFmtId="49" fontId="10" fillId="4" borderId="0" xfId="1" quotePrefix="1" applyNumberFormat="1" applyFont="1" applyFill="1" applyBorder="1" applyAlignment="1">
      <alignment horizontal="center"/>
    </xf>
    <xf numFmtId="49" fontId="10" fillId="4" borderId="0" xfId="1" quotePrefix="1" applyNumberFormat="1" applyFont="1" applyFill="1" applyBorder="1" applyAlignment="1">
      <alignment horizontal="center" vertical="center"/>
    </xf>
    <xf numFmtId="49" fontId="10" fillId="4" borderId="0" xfId="1" quotePrefix="1" applyNumberFormat="1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 applyBorder="1"/>
    <xf numFmtId="0" fontId="1" fillId="0" borderId="0" xfId="0" applyFont="1"/>
    <xf numFmtId="0" fontId="0" fillId="4" borderId="0" xfId="0" applyFill="1"/>
    <xf numFmtId="2" fontId="1" fillId="3" borderId="1" xfId="0" applyNumberFormat="1" applyFont="1" applyFill="1" applyBorder="1" applyAlignment="1">
      <alignment horizontal="center"/>
    </xf>
    <xf numFmtId="2" fontId="1" fillId="11" borderId="1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2" borderId="1" xfId="0" applyFill="1" applyBorder="1"/>
    <xf numFmtId="0" fontId="0" fillId="0" borderId="0" xfId="0"/>
    <xf numFmtId="0" fontId="1" fillId="0" borderId="2" xfId="0" applyFont="1" applyBorder="1"/>
    <xf numFmtId="0" fontId="1" fillId="0" borderId="3" xfId="0" applyFont="1" applyBorder="1"/>
    <xf numFmtId="0" fontId="0" fillId="0" borderId="0" xfId="0" applyAlignment="1">
      <alignment horizontal="left"/>
    </xf>
    <xf numFmtId="0" fontId="0" fillId="0" borderId="0" xfId="0"/>
    <xf numFmtId="0" fontId="1" fillId="0" borderId="4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12" fillId="0" borderId="0" xfId="2" applyAlignment="1">
      <alignment horizontal="left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0" fillId="0" borderId="0" xfId="0" applyBorder="1"/>
    <xf numFmtId="0" fontId="0" fillId="0" borderId="24" xfId="0" applyBorder="1"/>
    <xf numFmtId="49" fontId="10" fillId="4" borderId="26" xfId="1" quotePrefix="1" applyNumberFormat="1" applyFont="1" applyFill="1" applyBorder="1" applyAlignment="1">
      <alignment horizontal="center" vertical="center"/>
    </xf>
    <xf numFmtId="49" fontId="10" fillId="4" borderId="27" xfId="1" quotePrefix="1" applyNumberFormat="1" applyFont="1" applyFill="1" applyBorder="1" applyAlignment="1">
      <alignment horizontal="center" vertical="center"/>
    </xf>
    <xf numFmtId="49" fontId="10" fillId="4" borderId="28" xfId="1" quotePrefix="1" applyNumberFormat="1" applyFont="1" applyFill="1" applyBorder="1" applyAlignment="1">
      <alignment horizontal="center" vertical="center"/>
    </xf>
    <xf numFmtId="49" fontId="10" fillId="4" borderId="1" xfId="1" quotePrefix="1" applyNumberFormat="1" applyFont="1" applyFill="1" applyBorder="1" applyAlignment="1">
      <alignment horizontal="center" vertical="center"/>
    </xf>
    <xf numFmtId="0" fontId="1" fillId="6" borderId="26" xfId="0" applyFont="1" applyFill="1" applyBorder="1" applyAlignment="1">
      <alignment horizontal="center" vertical="center"/>
    </xf>
    <xf numFmtId="0" fontId="1" fillId="6" borderId="27" xfId="0" applyFont="1" applyFill="1" applyBorder="1" applyAlignment="1">
      <alignment horizontal="center" vertical="center"/>
    </xf>
    <xf numFmtId="0" fontId="1" fillId="6" borderId="28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3">
    <cellStyle name="Hiperłącze" xfId="2" builtinId="8"/>
    <cellStyle name="Normalny" xfId="0" builtinId="0"/>
    <cellStyle name="Normalny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p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p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370594</xdr:colOff>
      <xdr:row>32</xdr:row>
      <xdr:rowOff>52668</xdr:rowOff>
    </xdr:from>
    <xdr:to>
      <xdr:col>41</xdr:col>
      <xdr:colOff>205948</xdr:colOff>
      <xdr:row>40</xdr:row>
      <xdr:rowOff>62193</xdr:rowOff>
    </xdr:to>
    <xdr:pic>
      <xdr:nvPicPr>
        <xdr:cNvPr id="6" name="Obraz 5" descr="EulerAngl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17380" y="5223382"/>
          <a:ext cx="4733925" cy="1533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200025</xdr:colOff>
      <xdr:row>31</xdr:row>
      <xdr:rowOff>9526</xdr:rowOff>
    </xdr:from>
    <xdr:to>
      <xdr:col>8</xdr:col>
      <xdr:colOff>247650</xdr:colOff>
      <xdr:row>37</xdr:row>
      <xdr:rowOff>185176</xdr:rowOff>
    </xdr:to>
    <xdr:pic>
      <xdr:nvPicPr>
        <xdr:cNvPr id="7" name="Obraz 6" descr="https://upload.wikimedia.org/wikipedia/commons/thumb/d/d5/Counterclockwise_rotation.png/220px-Counterclockwise_rotation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52875" y="1362076"/>
          <a:ext cx="1266825" cy="131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299075</xdr:colOff>
      <xdr:row>40</xdr:row>
      <xdr:rowOff>133351</xdr:rowOff>
    </xdr:from>
    <xdr:to>
      <xdr:col>8</xdr:col>
      <xdr:colOff>391641</xdr:colOff>
      <xdr:row>61</xdr:row>
      <xdr:rowOff>83672</xdr:rowOff>
    </xdr:to>
    <xdr:pic>
      <xdr:nvPicPr>
        <xdr:cNvPr id="3" name="Obraz 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675" y="3200401"/>
          <a:ext cx="4555869" cy="3948420"/>
        </a:xfrm>
        <a:prstGeom prst="rect">
          <a:avLst/>
        </a:prstGeom>
      </xdr:spPr>
    </xdr:pic>
    <xdr:clientData/>
  </xdr:twoCellAnchor>
  <xdr:twoCellAnchor editAs="oneCell">
    <xdr:from>
      <xdr:col>9</xdr:col>
      <xdr:colOff>79071</xdr:colOff>
      <xdr:row>41</xdr:row>
      <xdr:rowOff>83485</xdr:rowOff>
    </xdr:from>
    <xdr:to>
      <xdr:col>17</xdr:col>
      <xdr:colOff>100985</xdr:colOff>
      <xdr:row>60</xdr:row>
      <xdr:rowOff>63985</xdr:rowOff>
    </xdr:to>
    <xdr:pic>
      <xdr:nvPicPr>
        <xdr:cNvPr id="8" name="Obraz 7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4071" y="5854514"/>
          <a:ext cx="4974914" cy="360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234204</xdr:colOff>
      <xdr:row>41</xdr:row>
      <xdr:rowOff>48747</xdr:rowOff>
    </xdr:from>
    <xdr:to>
      <xdr:col>24</xdr:col>
      <xdr:colOff>576531</xdr:colOff>
      <xdr:row>60</xdr:row>
      <xdr:rowOff>29247</xdr:rowOff>
    </xdr:to>
    <xdr:pic>
      <xdr:nvPicPr>
        <xdr:cNvPr id="9" name="Obraz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87469" y="5819776"/>
          <a:ext cx="3973033" cy="360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180174</xdr:colOff>
      <xdr:row>66</xdr:row>
      <xdr:rowOff>100932</xdr:rowOff>
    </xdr:from>
    <xdr:to>
      <xdr:col>26</xdr:col>
      <xdr:colOff>294815</xdr:colOff>
      <xdr:row>101</xdr:row>
      <xdr:rowOff>11020</xdr:rowOff>
    </xdr:to>
    <xdr:pic>
      <xdr:nvPicPr>
        <xdr:cNvPr id="11" name="Obraz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214792" y="7754550"/>
          <a:ext cx="8149258" cy="6600000"/>
        </a:xfrm>
        <a:prstGeom prst="rect">
          <a:avLst/>
        </a:prstGeom>
      </xdr:spPr>
    </xdr:pic>
    <xdr:clientData/>
  </xdr:twoCellAnchor>
  <xdr:twoCellAnchor editAs="oneCell">
    <xdr:from>
      <xdr:col>5</xdr:col>
      <xdr:colOff>219634</xdr:colOff>
      <xdr:row>79</xdr:row>
      <xdr:rowOff>189379</xdr:rowOff>
    </xdr:from>
    <xdr:to>
      <xdr:col>13</xdr:col>
      <xdr:colOff>6161</xdr:colOff>
      <xdr:row>87</xdr:row>
      <xdr:rowOff>176492</xdr:rowOff>
    </xdr:to>
    <xdr:pic>
      <xdr:nvPicPr>
        <xdr:cNvPr id="12" name="Obraz 11" descr="EulerAngl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7281" y="10330703"/>
          <a:ext cx="4683498" cy="1533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129668</xdr:colOff>
      <xdr:row>41</xdr:row>
      <xdr:rowOff>68036</xdr:rowOff>
    </xdr:from>
    <xdr:to>
      <xdr:col>32</xdr:col>
      <xdr:colOff>515539</xdr:colOff>
      <xdr:row>61</xdr:row>
      <xdr:rowOff>36902</xdr:rowOff>
    </xdr:to>
    <xdr:pic>
      <xdr:nvPicPr>
        <xdr:cNvPr id="14" name="Obraz 13" descr="C:\Users\mirodydu\AppData\Local\Temp\2hmnihtv.ipr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90204" y="7715250"/>
          <a:ext cx="4059799" cy="37788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353785</xdr:colOff>
      <xdr:row>41</xdr:row>
      <xdr:rowOff>13606</xdr:rowOff>
    </xdr:from>
    <xdr:to>
      <xdr:col>35</xdr:col>
      <xdr:colOff>582384</xdr:colOff>
      <xdr:row>51</xdr:row>
      <xdr:rowOff>118381</xdr:rowOff>
    </xdr:to>
    <xdr:pic>
      <xdr:nvPicPr>
        <xdr:cNvPr id="15" name="Obraz 14" descr="C:\Users\mirodydu\AppData\Local\Temp\f53b0msy.bzo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00571" y="6898820"/>
          <a:ext cx="1453242" cy="200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176893</xdr:colOff>
      <xdr:row>109</xdr:row>
      <xdr:rowOff>122465</xdr:rowOff>
    </xdr:from>
    <xdr:to>
      <xdr:col>26</xdr:col>
      <xdr:colOff>402940</xdr:colOff>
      <xdr:row>141</xdr:row>
      <xdr:rowOff>99930</xdr:rowOff>
    </xdr:to>
    <xdr:pic>
      <xdr:nvPicPr>
        <xdr:cNvPr id="13" name="Obraz 12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130143" y="20614822"/>
          <a:ext cx="9533333" cy="6114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47625</xdr:colOff>
      <xdr:row>5</xdr:row>
      <xdr:rowOff>38100</xdr:rowOff>
    </xdr:from>
    <xdr:ext cx="638175" cy="333375"/>
    <xdr:pic>
      <xdr:nvPicPr>
        <xdr:cNvPr id="2" name="Obraz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6025" y="847725"/>
          <a:ext cx="6381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47625</xdr:colOff>
      <xdr:row>5</xdr:row>
      <xdr:rowOff>38100</xdr:rowOff>
    </xdr:from>
    <xdr:ext cx="638175" cy="333375"/>
    <xdr:pic>
      <xdr:nvPicPr>
        <xdr:cNvPr id="3" name="Obraz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847725"/>
          <a:ext cx="6381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47625</xdr:colOff>
      <xdr:row>5</xdr:row>
      <xdr:rowOff>28575</xdr:rowOff>
    </xdr:from>
    <xdr:ext cx="638175" cy="333375"/>
    <xdr:pic>
      <xdr:nvPicPr>
        <xdr:cNvPr id="4" name="Obraz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" y="838200"/>
          <a:ext cx="6381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38100</xdr:colOff>
      <xdr:row>5</xdr:row>
      <xdr:rowOff>28575</xdr:rowOff>
    </xdr:from>
    <xdr:ext cx="638175" cy="333375"/>
    <xdr:pic>
      <xdr:nvPicPr>
        <xdr:cNvPr id="5" name="Obraz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838200"/>
          <a:ext cx="6381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47625</xdr:colOff>
      <xdr:row>5</xdr:row>
      <xdr:rowOff>38100</xdr:rowOff>
    </xdr:from>
    <xdr:ext cx="638175" cy="333375"/>
    <xdr:pic>
      <xdr:nvPicPr>
        <xdr:cNvPr id="6" name="Obraz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01225" y="847725"/>
          <a:ext cx="6381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47625</xdr:colOff>
      <xdr:row>5</xdr:row>
      <xdr:rowOff>38100</xdr:rowOff>
    </xdr:from>
    <xdr:ext cx="638175" cy="333375"/>
    <xdr:pic>
      <xdr:nvPicPr>
        <xdr:cNvPr id="7" name="Obraz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1625" y="847725"/>
          <a:ext cx="6381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47625</xdr:colOff>
      <xdr:row>5</xdr:row>
      <xdr:rowOff>28575</xdr:rowOff>
    </xdr:from>
    <xdr:ext cx="638175" cy="333375"/>
    <xdr:pic>
      <xdr:nvPicPr>
        <xdr:cNvPr id="8" name="Obraz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82025" y="838200"/>
          <a:ext cx="6381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38100</xdr:colOff>
      <xdr:row>5</xdr:row>
      <xdr:rowOff>28575</xdr:rowOff>
    </xdr:from>
    <xdr:ext cx="638175" cy="333375"/>
    <xdr:pic>
      <xdr:nvPicPr>
        <xdr:cNvPr id="9" name="Obraz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62900" y="838200"/>
          <a:ext cx="6381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9</xdr:col>
      <xdr:colOff>47625</xdr:colOff>
      <xdr:row>5</xdr:row>
      <xdr:rowOff>38100</xdr:rowOff>
    </xdr:from>
    <xdr:ext cx="638175" cy="333375"/>
    <xdr:pic>
      <xdr:nvPicPr>
        <xdr:cNvPr id="10" name="Obraz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847725"/>
          <a:ext cx="6381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47625</xdr:colOff>
      <xdr:row>5</xdr:row>
      <xdr:rowOff>38100</xdr:rowOff>
    </xdr:from>
    <xdr:ext cx="638175" cy="333375"/>
    <xdr:pic>
      <xdr:nvPicPr>
        <xdr:cNvPr id="11" name="Obraz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4425" y="847725"/>
          <a:ext cx="6381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47625</xdr:colOff>
      <xdr:row>5</xdr:row>
      <xdr:rowOff>28575</xdr:rowOff>
    </xdr:from>
    <xdr:ext cx="638175" cy="333375"/>
    <xdr:pic>
      <xdr:nvPicPr>
        <xdr:cNvPr id="12" name="Obraz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838200"/>
          <a:ext cx="6381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38100</xdr:colOff>
      <xdr:row>5</xdr:row>
      <xdr:rowOff>28575</xdr:rowOff>
    </xdr:from>
    <xdr:ext cx="638175" cy="333375"/>
    <xdr:pic>
      <xdr:nvPicPr>
        <xdr:cNvPr id="13" name="Obraz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0" y="838200"/>
          <a:ext cx="6381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790575</xdr:colOff>
      <xdr:row>10</xdr:row>
      <xdr:rowOff>190499</xdr:rowOff>
    </xdr:from>
    <xdr:to>
      <xdr:col>6</xdr:col>
      <xdr:colOff>0</xdr:colOff>
      <xdr:row>14</xdr:row>
      <xdr:rowOff>148499</xdr:rowOff>
    </xdr:to>
    <xdr:sp macro="" textlink="">
      <xdr:nvSpPr>
        <xdr:cNvPr id="4" name="Mnożenie 3"/>
        <xdr:cNvSpPr>
          <a:spLocks/>
        </xdr:cNvSpPr>
      </xdr:nvSpPr>
      <xdr:spPr>
        <a:xfrm>
          <a:off x="3838575" y="2095499"/>
          <a:ext cx="790575" cy="720000"/>
        </a:xfrm>
        <a:prstGeom prst="mathMultiply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219728</xdr:colOff>
      <xdr:row>14</xdr:row>
      <xdr:rowOff>40386</xdr:rowOff>
    </xdr:from>
    <xdr:to>
      <xdr:col>5</xdr:col>
      <xdr:colOff>851658</xdr:colOff>
      <xdr:row>17</xdr:row>
      <xdr:rowOff>59996</xdr:rowOff>
    </xdr:to>
    <xdr:sp macro="" textlink="">
      <xdr:nvSpPr>
        <xdr:cNvPr id="11" name="Strzałka w prawo 10"/>
        <xdr:cNvSpPr/>
      </xdr:nvSpPr>
      <xdr:spPr>
        <a:xfrm rot="19200000">
          <a:off x="3267728" y="2707386"/>
          <a:ext cx="631930" cy="5911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188777</xdr:colOff>
      <xdr:row>18</xdr:row>
      <xdr:rowOff>73785</xdr:rowOff>
    </xdr:from>
    <xdr:to>
      <xdr:col>5</xdr:col>
      <xdr:colOff>820707</xdr:colOff>
      <xdr:row>21</xdr:row>
      <xdr:rowOff>89204</xdr:rowOff>
    </xdr:to>
    <xdr:sp macro="" textlink="">
      <xdr:nvSpPr>
        <xdr:cNvPr id="13" name="Strzałka w prawo 12"/>
        <xdr:cNvSpPr/>
      </xdr:nvSpPr>
      <xdr:spPr>
        <a:xfrm rot="2400000">
          <a:off x="3236777" y="3502785"/>
          <a:ext cx="631930" cy="58691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828675</xdr:colOff>
      <xdr:row>20</xdr:row>
      <xdr:rowOff>161924</xdr:rowOff>
    </xdr:from>
    <xdr:to>
      <xdr:col>6</xdr:col>
      <xdr:colOff>9525</xdr:colOff>
      <xdr:row>24</xdr:row>
      <xdr:rowOff>119924</xdr:rowOff>
    </xdr:to>
    <xdr:sp macro="" textlink="">
      <xdr:nvSpPr>
        <xdr:cNvPr id="14" name="Mnożenie 13"/>
        <xdr:cNvSpPr>
          <a:spLocks/>
        </xdr:cNvSpPr>
      </xdr:nvSpPr>
      <xdr:spPr>
        <a:xfrm>
          <a:off x="3876675" y="3971924"/>
          <a:ext cx="762000" cy="720000"/>
        </a:xfrm>
        <a:prstGeom prst="mathMultiply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10</xdr:col>
      <xdr:colOff>0</xdr:colOff>
      <xdr:row>10</xdr:row>
      <xdr:rowOff>152401</xdr:rowOff>
    </xdr:from>
    <xdr:to>
      <xdr:col>11</xdr:col>
      <xdr:colOff>19050</xdr:colOff>
      <xdr:row>14</xdr:row>
      <xdr:rowOff>38101</xdr:rowOff>
    </xdr:to>
    <xdr:sp macro="" textlink="">
      <xdr:nvSpPr>
        <xdr:cNvPr id="16" name="Równa się 15"/>
        <xdr:cNvSpPr/>
      </xdr:nvSpPr>
      <xdr:spPr>
        <a:xfrm>
          <a:off x="7067550" y="2057401"/>
          <a:ext cx="628650" cy="647700"/>
        </a:xfrm>
        <a:prstGeom prst="mathEqua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600075</xdr:colOff>
      <xdr:row>20</xdr:row>
      <xdr:rowOff>114301</xdr:rowOff>
    </xdr:from>
    <xdr:to>
      <xdr:col>11</xdr:col>
      <xdr:colOff>9525</xdr:colOff>
      <xdr:row>24</xdr:row>
      <xdr:rowOff>1</xdr:rowOff>
    </xdr:to>
    <xdr:sp macro="" textlink="">
      <xdr:nvSpPr>
        <xdr:cNvPr id="17" name="Równa się 16"/>
        <xdr:cNvSpPr/>
      </xdr:nvSpPr>
      <xdr:spPr>
        <a:xfrm>
          <a:off x="7058025" y="3924301"/>
          <a:ext cx="628650" cy="647700"/>
        </a:xfrm>
        <a:prstGeom prst="mathEqua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70.64.108.154/cd2/Catiav5r24doc/English/online/CATIA_P3_search.ht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AP144"/>
  <sheetViews>
    <sheetView tabSelected="1" zoomScale="70" zoomScaleNormal="70" workbookViewId="0">
      <selection activeCell="C13" sqref="C13:E15"/>
    </sheetView>
  </sheetViews>
  <sheetFormatPr defaultRowHeight="15" x14ac:dyDescent="0.25"/>
  <cols>
    <col min="2" max="2" width="9.85546875" bestFit="1" customWidth="1"/>
    <col min="3" max="3" width="9.7109375" bestFit="1" customWidth="1"/>
    <col min="4" max="4" width="10" bestFit="1" customWidth="1"/>
    <col min="5" max="5" width="9.7109375" bestFit="1" customWidth="1"/>
    <col min="9" max="9" width="9.85546875" bestFit="1" customWidth="1"/>
    <col min="11" max="11" width="9.140625" customWidth="1"/>
    <col min="14" max="15" width="9.85546875" bestFit="1" customWidth="1"/>
    <col min="18" max="18" width="9.85546875" bestFit="1" customWidth="1"/>
  </cols>
  <sheetData>
    <row r="1" spans="1:15" x14ac:dyDescent="0.25">
      <c r="B1" s="117" t="s">
        <v>11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9"/>
    </row>
    <row r="2" spans="1:15" x14ac:dyDescent="0.25">
      <c r="B2" s="118" t="s">
        <v>81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20"/>
    </row>
    <row r="3" spans="1:15" x14ac:dyDescent="0.25">
      <c r="B3" s="117" t="s">
        <v>12</v>
      </c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9"/>
    </row>
    <row r="4" spans="1:15" x14ac:dyDescent="0.25">
      <c r="B4" s="117" t="s">
        <v>26</v>
      </c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</row>
    <row r="5" spans="1:15" s="114" customFormat="1" x14ac:dyDescent="0.25">
      <c r="B5" s="117" t="s">
        <v>80</v>
      </c>
      <c r="C5" s="117"/>
      <c r="D5" s="117"/>
      <c r="E5" s="117"/>
      <c r="F5" s="117"/>
      <c r="G5" s="117"/>
      <c r="H5" s="117"/>
      <c r="I5" s="117"/>
      <c r="J5" s="117"/>
      <c r="K5" s="117"/>
      <c r="L5" s="117"/>
      <c r="M5" s="117"/>
      <c r="N5" s="117"/>
    </row>
    <row r="6" spans="1:15" s="72" customFormat="1" x14ac:dyDescent="0.25">
      <c r="B6" s="124" t="s">
        <v>79</v>
      </c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</row>
    <row r="7" spans="1:15" s="72" customFormat="1" ht="15.75" thickBot="1" x14ac:dyDescent="0.3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</row>
    <row r="8" spans="1:15" s="65" customFormat="1" ht="15.75" thickBot="1" x14ac:dyDescent="0.3">
      <c r="B8" s="116" t="s">
        <v>83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</row>
    <row r="9" spans="1:15" s="57" customFormat="1" ht="15.75" thickBot="1" x14ac:dyDescent="0.3">
      <c r="B9" s="119" t="s">
        <v>63</v>
      </c>
      <c r="C9" s="120"/>
      <c r="D9" s="120"/>
      <c r="E9" s="121"/>
      <c r="F9" s="103"/>
      <c r="G9" s="119" t="s">
        <v>61</v>
      </c>
      <c r="H9" s="120"/>
      <c r="I9" s="120"/>
      <c r="J9" s="120"/>
      <c r="K9" s="120"/>
      <c r="L9" s="120"/>
      <c r="M9" s="121"/>
      <c r="N9" s="56"/>
    </row>
    <row r="10" spans="1:15" s="57" customFormat="1" x14ac:dyDescent="0.25"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</row>
    <row r="11" spans="1:15" s="57" customFormat="1" x14ac:dyDescent="0.25">
      <c r="B11" s="134" t="s">
        <v>88</v>
      </c>
      <c r="C11" s="134"/>
      <c r="D11" s="134"/>
      <c r="E11" s="134"/>
      <c r="F11" s="56"/>
      <c r="G11" s="131" t="s">
        <v>68</v>
      </c>
      <c r="H11" s="132"/>
      <c r="I11" s="133"/>
      <c r="J11" s="64"/>
      <c r="K11" s="131" t="s">
        <v>73</v>
      </c>
      <c r="L11" s="132"/>
      <c r="M11" s="133"/>
    </row>
    <row r="12" spans="1:15" s="57" customFormat="1" x14ac:dyDescent="0.25">
      <c r="A12" s="67"/>
      <c r="B12" s="68"/>
      <c r="C12" s="69" t="s">
        <v>2</v>
      </c>
      <c r="D12" s="69" t="s">
        <v>3</v>
      </c>
      <c r="E12" s="69" t="s">
        <v>8</v>
      </c>
      <c r="F12" s="56"/>
      <c r="G12" s="66" t="s">
        <v>2</v>
      </c>
      <c r="H12" s="66" t="s">
        <v>3</v>
      </c>
      <c r="I12" s="66" t="s">
        <v>8</v>
      </c>
      <c r="J12" s="64"/>
      <c r="K12" s="66" t="s">
        <v>4</v>
      </c>
      <c r="L12" s="66" t="s">
        <v>5</v>
      </c>
      <c r="M12" s="66" t="s">
        <v>10</v>
      </c>
    </row>
    <row r="13" spans="1:15" s="57" customFormat="1" x14ac:dyDescent="0.25">
      <c r="B13" s="2" t="s">
        <v>20</v>
      </c>
      <c r="C13" s="60">
        <v>0.53529904628273328</v>
      </c>
      <c r="D13" s="60">
        <v>0.63663293096920215</v>
      </c>
      <c r="E13" s="60">
        <v>-0.55511570168241464</v>
      </c>
      <c r="F13" s="56"/>
      <c r="G13" s="70">
        <v>-72.599999999999994</v>
      </c>
      <c r="H13" s="70">
        <v>-123.2</v>
      </c>
      <c r="I13" s="70">
        <v>-41.5</v>
      </c>
      <c r="J13" s="65"/>
      <c r="K13" s="110">
        <f>($C$13*G13)+($D$13*H13)+($E$13*I13)</f>
        <v>-94.258586235711931</v>
      </c>
      <c r="L13" s="110">
        <f>($C$14*G13)+($D$14*H13)+($E$14*I13)</f>
        <v>46.25696646776894</v>
      </c>
      <c r="M13" s="70">
        <f>($C$15*G13)+($D$15*H13)+($E$15*I13)</f>
        <v>105.57870038054344</v>
      </c>
    </row>
    <row r="14" spans="1:15" s="57" customFormat="1" x14ac:dyDescent="0.25">
      <c r="B14" s="2" t="s">
        <v>21</v>
      </c>
      <c r="C14" s="60">
        <v>0.67629814464709292</v>
      </c>
      <c r="D14" s="60">
        <v>-0.71677312107503732</v>
      </c>
      <c r="E14" s="60">
        <v>-0.16987381331815124</v>
      </c>
      <c r="F14" s="56"/>
      <c r="G14" s="70">
        <v>-152.4</v>
      </c>
      <c r="H14" s="70">
        <v>86.199999999999989</v>
      </c>
      <c r="I14" s="70">
        <v>80.599999999999994</v>
      </c>
      <c r="J14" s="65"/>
      <c r="K14" s="110">
        <f t="shared" ref="K14:K16" si="0">($C$13*G14)+($D$13*H14)+($E$13*I14)</f>
        <v>-71.444141559545955</v>
      </c>
      <c r="L14" s="110">
        <f t="shared" ref="L14:L16" si="1">($C$14*G14)+($D$14*H14)+($E$14*I14)</f>
        <v>-178.54550963432814</v>
      </c>
      <c r="M14" s="70">
        <f t="shared" ref="M14:M16" si="2">($C$15*G14)+($D$15*H14)+($E$15*I14)</f>
        <v>-13.030565077447868</v>
      </c>
    </row>
    <row r="15" spans="1:15" s="57" customFormat="1" x14ac:dyDescent="0.25">
      <c r="B15" s="2" t="s">
        <v>22</v>
      </c>
      <c r="C15" s="60">
        <v>-0.50603927772031321</v>
      </c>
      <c r="D15" s="60">
        <v>-0.28449042885466858</v>
      </c>
      <c r="E15" s="60">
        <v>-0.81424163814827755</v>
      </c>
      <c r="F15" s="56"/>
      <c r="G15" s="70">
        <v>203.7</v>
      </c>
      <c r="H15" s="70">
        <v>202.4</v>
      </c>
      <c r="I15" s="70">
        <v>100.8</v>
      </c>
      <c r="J15" s="65"/>
      <c r="K15" s="110">
        <f t="shared" si="0"/>
        <v>181.93925822637186</v>
      </c>
      <c r="L15" s="110">
        <f t="shared" si="1"/>
        <v>-24.4362280234444</v>
      </c>
      <c r="M15" s="70">
        <f t="shared" si="2"/>
        <v>-242.73662079715911</v>
      </c>
    </row>
    <row r="16" spans="1:15" s="57" customFormat="1" x14ac:dyDescent="0.25">
      <c r="B16" s="56"/>
      <c r="C16" s="56"/>
      <c r="D16" s="56"/>
      <c r="E16" s="56"/>
      <c r="F16" s="56"/>
      <c r="G16" s="70">
        <v>223.8</v>
      </c>
      <c r="H16" s="70">
        <v>205.6</v>
      </c>
      <c r="I16" s="70">
        <v>180.8</v>
      </c>
      <c r="J16" s="64"/>
      <c r="K16" s="110">
        <f t="shared" si="0"/>
        <v>150.32673830116309</v>
      </c>
      <c r="L16" s="110">
        <f t="shared" si="1"/>
        <v>-26.726214368930016</v>
      </c>
      <c r="M16" s="70">
        <f t="shared" si="2"/>
        <v>-318.95771070353453</v>
      </c>
    </row>
    <row r="17" spans="2:42" s="57" customFormat="1" x14ac:dyDescent="0.25">
      <c r="B17" s="56"/>
      <c r="C17" s="56"/>
      <c r="D17" s="56"/>
      <c r="E17" s="56"/>
      <c r="F17" s="56"/>
      <c r="G17" s="56"/>
      <c r="H17" s="65"/>
      <c r="I17" s="65"/>
      <c r="J17" s="65"/>
      <c r="K17" s="65"/>
      <c r="L17" s="65"/>
      <c r="M17" s="65"/>
      <c r="N17" s="65"/>
    </row>
    <row r="18" spans="2:42" s="57" customFormat="1" ht="15.75" thickBot="1" x14ac:dyDescent="0.3">
      <c r="B18" s="56"/>
      <c r="C18" s="56"/>
      <c r="D18" s="56"/>
      <c r="E18" s="56"/>
      <c r="F18" s="56"/>
      <c r="G18" s="56"/>
      <c r="H18" s="65"/>
      <c r="I18" s="65"/>
      <c r="J18" s="65"/>
      <c r="K18" s="65"/>
      <c r="L18" s="65"/>
      <c r="M18" s="65"/>
      <c r="N18" s="65"/>
    </row>
    <row r="19" spans="2:42" s="57" customFormat="1" ht="15.75" thickBot="1" x14ac:dyDescent="0.3">
      <c r="B19" s="65"/>
      <c r="C19" s="65"/>
      <c r="D19" s="65"/>
      <c r="E19" s="65"/>
      <c r="F19" s="65"/>
      <c r="G19" s="136" t="s">
        <v>62</v>
      </c>
      <c r="H19" s="137"/>
      <c r="I19" s="137"/>
      <c r="J19" s="137"/>
      <c r="K19" s="137"/>
      <c r="L19" s="137"/>
      <c r="M19" s="138"/>
      <c r="N19" s="4"/>
    </row>
    <row r="20" spans="2:42" s="57" customFormat="1" x14ac:dyDescent="0.25">
      <c r="B20" s="56"/>
      <c r="C20" s="56"/>
      <c r="D20" s="56"/>
      <c r="E20" s="56"/>
      <c r="F20" s="56"/>
      <c r="G20" s="56"/>
      <c r="H20" s="65"/>
      <c r="I20" s="65"/>
      <c r="J20" s="65"/>
      <c r="K20" s="65"/>
      <c r="L20" s="65"/>
      <c r="M20" s="65"/>
      <c r="N20" s="65"/>
    </row>
    <row r="21" spans="2:42" s="59" customFormat="1" x14ac:dyDescent="0.25">
      <c r="B21" s="65"/>
      <c r="C21" s="65"/>
      <c r="D21" s="65"/>
      <c r="E21" s="65"/>
      <c r="F21" s="64"/>
      <c r="G21" s="131" t="s">
        <v>74</v>
      </c>
      <c r="H21" s="132"/>
      <c r="I21" s="133"/>
      <c r="J21" s="64"/>
      <c r="K21" s="131" t="s">
        <v>73</v>
      </c>
      <c r="L21" s="132"/>
      <c r="M21" s="133"/>
      <c r="N21" s="58"/>
      <c r="O21" s="135"/>
      <c r="P21" s="135"/>
      <c r="Q21" s="135"/>
      <c r="R21" s="65"/>
      <c r="S21" s="65"/>
      <c r="T21" s="65"/>
      <c r="U21" s="65"/>
    </row>
    <row r="22" spans="2:42" s="65" customFormat="1" x14ac:dyDescent="0.25">
      <c r="F22" s="64"/>
      <c r="G22" s="66" t="s">
        <v>2</v>
      </c>
      <c r="H22" s="66" t="s">
        <v>3</v>
      </c>
      <c r="I22" s="66" t="s">
        <v>8</v>
      </c>
      <c r="J22" s="64"/>
      <c r="K22" s="66" t="s">
        <v>4</v>
      </c>
      <c r="L22" s="66" t="s">
        <v>5</v>
      </c>
      <c r="M22" s="66" t="s">
        <v>10</v>
      </c>
      <c r="N22" s="64"/>
    </row>
    <row r="23" spans="2:42" s="65" customFormat="1" x14ac:dyDescent="0.25">
      <c r="F23" s="64"/>
      <c r="G23" s="70">
        <f>G13-$G$13</f>
        <v>0</v>
      </c>
      <c r="H23" s="70">
        <f>H13-$H$13</f>
        <v>0</v>
      </c>
      <c r="I23" s="70">
        <f>I13-$I$13</f>
        <v>0</v>
      </c>
      <c r="K23" s="109">
        <f>($C$13*G23)+($D$13*H23)+($E$13*I23)</f>
        <v>0</v>
      </c>
      <c r="L23" s="109">
        <f>($C$14*G23)+($D$14*H23)+($E$14*I23)</f>
        <v>0</v>
      </c>
      <c r="M23" s="70">
        <f>($C$15*G23)+($D$15*H23)+($E$15*I23)</f>
        <v>0</v>
      </c>
      <c r="N23" s="64"/>
    </row>
    <row r="24" spans="2:42" s="59" customFormat="1" x14ac:dyDescent="0.25">
      <c r="B24" s="65"/>
      <c r="C24" s="65"/>
      <c r="D24" s="65"/>
      <c r="E24" s="65"/>
      <c r="F24" s="64"/>
      <c r="G24" s="70">
        <f t="shared" ref="G24:G26" si="3">G14-$G$13</f>
        <v>-79.800000000000011</v>
      </c>
      <c r="H24" s="70">
        <f t="shared" ref="H24:H26" si="4">H14-$H$13</f>
        <v>209.39999999999998</v>
      </c>
      <c r="I24" s="70">
        <f t="shared" ref="I24:I26" si="5">I14-$I$13</f>
        <v>122.1</v>
      </c>
      <c r="J24" s="65"/>
      <c r="K24" s="109">
        <f>($C$13*G24)+($D$13*H24)+($E$13*I24)</f>
        <v>22.814444676165948</v>
      </c>
      <c r="L24" s="109">
        <f>($C$14*G24)+($D$14*H24)+($E$14*I24)</f>
        <v>-224.8024761020971</v>
      </c>
      <c r="M24" s="70">
        <f>($C$15*G24)+($D$15*H24)+($E$15*I24)</f>
        <v>-118.60926545799128</v>
      </c>
      <c r="N24" s="58"/>
      <c r="O24" s="65"/>
      <c r="P24" s="65"/>
      <c r="Q24" s="65"/>
      <c r="R24" s="65"/>
      <c r="S24" s="65"/>
      <c r="T24" s="65"/>
      <c r="U24" s="65"/>
    </row>
    <row r="25" spans="2:42" s="59" customFormat="1" x14ac:dyDescent="0.25">
      <c r="B25" s="65"/>
      <c r="C25" s="65"/>
      <c r="D25" s="65"/>
      <c r="E25" s="65"/>
      <c r="F25" s="64"/>
      <c r="G25" s="70">
        <f t="shared" si="3"/>
        <v>276.29999999999995</v>
      </c>
      <c r="H25" s="70">
        <f t="shared" si="4"/>
        <v>325.60000000000002</v>
      </c>
      <c r="I25" s="70">
        <f t="shared" si="5"/>
        <v>142.30000000000001</v>
      </c>
      <c r="J25" s="65"/>
      <c r="K25" s="109">
        <f>($C$13*G25)+($D$13*H25)+($E$13*I25)</f>
        <v>276.19784446208382</v>
      </c>
      <c r="L25" s="109">
        <f>($C$14*G25)+($D$14*H25)+($E$14*I25)</f>
        <v>-70.693194491213347</v>
      </c>
      <c r="M25" s="70">
        <f>($C$15*G25)+($D$15*H25)+($E$15*I25)</f>
        <v>-348.31532117770251</v>
      </c>
      <c r="N25" s="58"/>
      <c r="O25" s="65"/>
      <c r="P25" s="65"/>
      <c r="Q25" s="65"/>
      <c r="R25" s="65"/>
      <c r="S25" s="65"/>
      <c r="T25" s="65"/>
      <c r="U25" s="65"/>
    </row>
    <row r="26" spans="2:42" s="57" customFormat="1" x14ac:dyDescent="0.25">
      <c r="B26" s="64"/>
      <c r="C26" s="64"/>
      <c r="D26" s="64"/>
      <c r="E26" s="64"/>
      <c r="F26" s="64"/>
      <c r="G26" s="70">
        <f t="shared" si="3"/>
        <v>296.39999999999998</v>
      </c>
      <c r="H26" s="70">
        <f t="shared" si="4"/>
        <v>328.8</v>
      </c>
      <c r="I26" s="70">
        <f t="shared" si="5"/>
        <v>222.3</v>
      </c>
      <c r="J26" s="64"/>
      <c r="K26" s="109">
        <f>($C$13*G26)+($D$13*H26)+($E$13*I26)</f>
        <v>244.58532453687502</v>
      </c>
      <c r="L26" s="109">
        <f>($C$14*G26)+($D$14*H26)+($E$14*I26)</f>
        <v>-72.983180836698978</v>
      </c>
      <c r="M26" s="70">
        <f>($C$15*G26)+($D$15*H26)+($E$15*I26)</f>
        <v>-424.53641108407794</v>
      </c>
      <c r="N26" s="56"/>
      <c r="O26" s="65"/>
      <c r="P26" s="65"/>
      <c r="Q26" s="65"/>
      <c r="R26" s="65"/>
      <c r="S26" s="65"/>
      <c r="T26" s="65"/>
      <c r="U26" s="65"/>
    </row>
    <row r="27" spans="2:42" s="72" customFormat="1" x14ac:dyDescent="0.25">
      <c r="B27" s="71"/>
      <c r="C27" s="71"/>
      <c r="D27" s="71"/>
      <c r="E27" s="71"/>
      <c r="F27" s="71"/>
      <c r="G27" s="76"/>
      <c r="H27" s="76"/>
      <c r="I27" s="76"/>
      <c r="J27" s="71"/>
      <c r="K27" s="76"/>
      <c r="L27" s="76"/>
      <c r="M27" s="76"/>
      <c r="N27" s="71"/>
    </row>
    <row r="28" spans="2:42" s="72" customFormat="1" ht="15.75" thickBot="1" x14ac:dyDescent="0.3">
      <c r="B28" s="71"/>
      <c r="C28" s="71"/>
      <c r="D28" s="71"/>
      <c r="E28" s="71"/>
      <c r="F28" s="71"/>
      <c r="G28" s="76"/>
      <c r="H28" s="76"/>
      <c r="I28" s="76"/>
      <c r="J28" s="71"/>
      <c r="K28" s="76"/>
      <c r="L28" s="76"/>
      <c r="M28" s="76"/>
      <c r="N28" s="71"/>
    </row>
    <row r="29" spans="2:42" ht="15.75" thickBot="1" x14ac:dyDescent="0.3">
      <c r="B29" s="115" t="s">
        <v>85</v>
      </c>
    </row>
    <row r="30" spans="2:42" ht="15.75" thickBot="1" x14ac:dyDescent="0.3">
      <c r="B30" s="128" t="s">
        <v>82</v>
      </c>
      <c r="C30" s="129"/>
      <c r="D30" s="129"/>
      <c r="E30" s="129"/>
      <c r="F30" s="129"/>
      <c r="G30" s="129"/>
      <c r="H30" s="129"/>
      <c r="I30" s="130"/>
      <c r="J30" s="128" t="s">
        <v>28</v>
      </c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129"/>
      <c r="AG30" s="129"/>
      <c r="AH30" s="129"/>
      <c r="AI30" s="129"/>
      <c r="AJ30" s="129"/>
      <c r="AK30" s="129"/>
      <c r="AL30" s="129"/>
      <c r="AM30" s="129"/>
      <c r="AN30" s="129"/>
      <c r="AO30" s="129"/>
      <c r="AP30" s="130"/>
    </row>
    <row r="31" spans="2:42" x14ac:dyDescent="0.25">
      <c r="B31" s="22" t="s">
        <v>0</v>
      </c>
      <c r="C31" s="33">
        <v>152</v>
      </c>
      <c r="D31" s="10"/>
      <c r="E31" s="10"/>
      <c r="F31" s="10"/>
      <c r="G31" s="10"/>
      <c r="H31" s="10"/>
      <c r="I31" s="61"/>
      <c r="J31" s="10"/>
      <c r="K31" s="10" t="s">
        <v>0</v>
      </c>
      <c r="L31" s="33">
        <v>20</v>
      </c>
      <c r="M31" s="10"/>
      <c r="N31" s="10"/>
      <c r="O31" s="74"/>
      <c r="P31" s="10"/>
      <c r="Q31" s="10"/>
      <c r="R31" s="61"/>
      <c r="S31" s="10"/>
      <c r="T31" s="10" t="s">
        <v>0</v>
      </c>
      <c r="U31" s="33">
        <v>63</v>
      </c>
      <c r="V31" s="10"/>
      <c r="W31" s="10"/>
      <c r="X31" s="10"/>
      <c r="Y31" s="10"/>
      <c r="Z31" s="61"/>
      <c r="AA31" s="10"/>
      <c r="AB31" s="10" t="s">
        <v>0</v>
      </c>
      <c r="AC31" s="33">
        <v>220</v>
      </c>
      <c r="AD31" s="10"/>
      <c r="AE31" s="10"/>
      <c r="AF31" s="10"/>
      <c r="AG31" s="61"/>
      <c r="AH31" s="10"/>
      <c r="AI31" s="10"/>
      <c r="AJ31" s="10"/>
      <c r="AK31" s="10"/>
      <c r="AL31" s="10"/>
      <c r="AM31" s="10"/>
      <c r="AN31" s="10"/>
      <c r="AO31" s="10"/>
      <c r="AP31" s="11"/>
    </row>
    <row r="32" spans="2:42" x14ac:dyDescent="0.25">
      <c r="B32" s="23" t="s">
        <v>1</v>
      </c>
      <c r="C32" s="25">
        <f>C31*PI()/180</f>
        <v>2.6529004630313806</v>
      </c>
      <c r="D32" s="8"/>
      <c r="E32" s="21"/>
      <c r="F32" s="21"/>
      <c r="G32" s="17"/>
      <c r="H32" s="17"/>
      <c r="I32" s="77"/>
      <c r="J32" s="8"/>
      <c r="K32" s="8" t="s">
        <v>1</v>
      </c>
      <c r="L32" s="8">
        <f>L31*PI()/180</f>
        <v>0.3490658503988659</v>
      </c>
      <c r="M32" s="8"/>
      <c r="N32" s="8"/>
      <c r="O32" s="73"/>
      <c r="P32" s="8"/>
      <c r="Q32" s="8"/>
      <c r="R32" s="62"/>
      <c r="S32" s="8"/>
      <c r="T32" s="8" t="s">
        <v>1</v>
      </c>
      <c r="U32" s="8">
        <f>U31*PI()/180</f>
        <v>1.0995574287564276</v>
      </c>
      <c r="V32" s="8"/>
      <c r="W32" s="8"/>
      <c r="X32" s="8"/>
      <c r="Y32" s="8"/>
      <c r="Z32" s="62"/>
      <c r="AA32" s="8"/>
      <c r="AB32" s="8" t="s">
        <v>1</v>
      </c>
      <c r="AC32" s="8">
        <f>AC31*PI()/180</f>
        <v>3.839724354387525</v>
      </c>
      <c r="AD32" s="8"/>
      <c r="AE32" s="8"/>
      <c r="AF32" s="8"/>
      <c r="AG32" s="62"/>
      <c r="AH32" s="8"/>
      <c r="AI32" s="8"/>
      <c r="AJ32" s="8"/>
      <c r="AK32" s="8"/>
      <c r="AL32" s="8"/>
      <c r="AM32" s="8"/>
      <c r="AN32" s="8"/>
      <c r="AO32" s="8"/>
      <c r="AP32" s="13"/>
    </row>
    <row r="33" spans="2:42" x14ac:dyDescent="0.25">
      <c r="B33" s="23" t="s">
        <v>2</v>
      </c>
      <c r="C33" s="31">
        <v>24.15</v>
      </c>
      <c r="D33" s="29" t="s">
        <v>4</v>
      </c>
      <c r="E33" s="28">
        <f>(COS(C32)*C33)-(SIN(C32)*C34)</f>
        <v>-42.63719331802254</v>
      </c>
      <c r="F33" s="21"/>
      <c r="G33" s="17"/>
      <c r="H33" s="17"/>
      <c r="I33" s="77"/>
      <c r="J33" s="8"/>
      <c r="K33" s="8" t="s">
        <v>2</v>
      </c>
      <c r="L33" s="31">
        <v>103.2</v>
      </c>
      <c r="M33" s="18" t="s">
        <v>4</v>
      </c>
      <c r="N33" s="26">
        <f>(K38*L33)+(L38*L34)+(M38*L35)</f>
        <v>156.2825713177767</v>
      </c>
      <c r="O33" s="73"/>
      <c r="P33" s="8"/>
      <c r="Q33" s="8"/>
      <c r="R33" s="62"/>
      <c r="S33" s="8"/>
      <c r="T33" s="8" t="s">
        <v>2</v>
      </c>
      <c r="U33" s="31">
        <v>103.2</v>
      </c>
      <c r="V33" s="18" t="s">
        <v>4</v>
      </c>
      <c r="W33" s="26">
        <f>(T38*U33)+(U38*U34)+(V38*U35)</f>
        <v>103.2</v>
      </c>
      <c r="X33" s="8"/>
      <c r="Y33" s="8"/>
      <c r="Z33" s="62"/>
      <c r="AA33" s="8"/>
      <c r="AB33" s="8" t="s">
        <v>2</v>
      </c>
      <c r="AC33" s="31">
        <v>103.2</v>
      </c>
      <c r="AD33" s="18" t="s">
        <v>4</v>
      </c>
      <c r="AE33" s="26">
        <f>(AB38*AC33)+(AC38*AC34)+(AD38*AC35)</f>
        <v>-190.51515804952444</v>
      </c>
      <c r="AF33" s="8"/>
      <c r="AG33" s="62"/>
      <c r="AH33" s="8"/>
      <c r="AI33" s="8"/>
      <c r="AJ33" s="8"/>
      <c r="AK33" s="8"/>
      <c r="AL33" s="8"/>
      <c r="AM33" s="8"/>
      <c r="AN33" s="8"/>
      <c r="AO33" s="8"/>
      <c r="AP33" s="13"/>
    </row>
    <row r="34" spans="2:42" x14ac:dyDescent="0.25">
      <c r="B34" s="23" t="s">
        <v>3</v>
      </c>
      <c r="C34" s="32">
        <v>45.4</v>
      </c>
      <c r="D34" s="29" t="s">
        <v>5</v>
      </c>
      <c r="E34" s="28">
        <f>SIN(C32)*C33+COS(C32)*C34</f>
        <v>-28.748082474516004</v>
      </c>
      <c r="F34" s="21"/>
      <c r="G34" s="17"/>
      <c r="H34" s="17"/>
      <c r="I34" s="77"/>
      <c r="J34" s="8"/>
      <c r="K34" s="8" t="s">
        <v>3</v>
      </c>
      <c r="L34" s="32">
        <v>173.4</v>
      </c>
      <c r="M34" s="18" t="s">
        <v>5</v>
      </c>
      <c r="N34" s="26">
        <f>(K39*L33)+(L39*L34)+(M39*L35)</f>
        <v>127.64622165306753</v>
      </c>
      <c r="O34" s="73"/>
      <c r="P34" s="8"/>
      <c r="Q34" s="8"/>
      <c r="R34" s="62"/>
      <c r="S34" s="8"/>
      <c r="T34" s="8" t="s">
        <v>3</v>
      </c>
      <c r="U34" s="32">
        <v>173.4</v>
      </c>
      <c r="V34" s="18" t="s">
        <v>5</v>
      </c>
      <c r="W34" s="26">
        <f>(T39*U33)+(U39*U34)+(V39*U35)</f>
        <v>213.0857365024433</v>
      </c>
      <c r="X34" s="8"/>
      <c r="Y34" s="8"/>
      <c r="Z34" s="62"/>
      <c r="AA34" s="8"/>
      <c r="AB34" s="8" t="s">
        <v>3</v>
      </c>
      <c r="AC34" s="32">
        <v>173.4</v>
      </c>
      <c r="AD34" s="18" t="s">
        <v>5</v>
      </c>
      <c r="AE34" s="26">
        <f>(AB39*AC33)+(AC39*AC34)+(AD39*AC35)</f>
        <v>-66.496425117179939</v>
      </c>
      <c r="AF34" s="8"/>
      <c r="AG34" s="62"/>
      <c r="AH34" s="8"/>
      <c r="AI34" s="8"/>
      <c r="AJ34" s="8"/>
      <c r="AK34" s="8"/>
      <c r="AL34" s="8"/>
      <c r="AM34" s="8"/>
      <c r="AN34" s="8"/>
      <c r="AO34" s="8"/>
      <c r="AP34" s="13"/>
    </row>
    <row r="35" spans="2:42" x14ac:dyDescent="0.25">
      <c r="B35" s="122" t="s">
        <v>6</v>
      </c>
      <c r="C35" s="123"/>
      <c r="D35" s="8"/>
      <c r="E35" s="30">
        <f>SQRT(POWER(E33,2)+POWER(E34,2))</f>
        <v>51.423559775651469</v>
      </c>
      <c r="F35" s="21"/>
      <c r="G35" s="17"/>
      <c r="H35" s="17"/>
      <c r="I35" s="77"/>
      <c r="J35" s="8"/>
      <c r="K35" s="8" t="s">
        <v>8</v>
      </c>
      <c r="L35" s="32">
        <v>150.80000000000001</v>
      </c>
      <c r="M35" s="18" t="s">
        <v>10</v>
      </c>
      <c r="N35" s="26">
        <f>K40*L33+L40*L34+M40*L35</f>
        <v>150.80000000000001</v>
      </c>
      <c r="O35" s="73"/>
      <c r="P35" s="8"/>
      <c r="Q35" s="8"/>
      <c r="R35" s="62"/>
      <c r="S35" s="8"/>
      <c r="T35" s="8" t="s">
        <v>8</v>
      </c>
      <c r="U35" s="31">
        <v>150.80000000000001</v>
      </c>
      <c r="V35" s="18" t="s">
        <v>10</v>
      </c>
      <c r="W35" s="26">
        <f>T40*U33+U40*U34+V40*U35</f>
        <v>-86.0387639335393</v>
      </c>
      <c r="X35" s="8"/>
      <c r="Y35" s="8"/>
      <c r="Z35" s="62"/>
      <c r="AA35" s="8"/>
      <c r="AB35" s="8" t="s">
        <v>8</v>
      </c>
      <c r="AC35" s="31">
        <v>150.80000000000001</v>
      </c>
      <c r="AD35" s="18" t="s">
        <v>10</v>
      </c>
      <c r="AE35" s="26">
        <f>AB40*AC33+AC40*AC34+AD40*AC35</f>
        <v>150.80000000000001</v>
      </c>
      <c r="AF35" s="8"/>
      <c r="AG35" s="62"/>
      <c r="AH35" s="8"/>
      <c r="AI35" s="8"/>
      <c r="AJ35" s="8"/>
      <c r="AK35" s="8"/>
      <c r="AL35" s="8"/>
      <c r="AM35" s="8"/>
      <c r="AN35" s="8"/>
      <c r="AO35" s="8"/>
      <c r="AP35" s="13"/>
    </row>
    <row r="36" spans="2:42" x14ac:dyDescent="0.25">
      <c r="B36" s="122" t="s">
        <v>7</v>
      </c>
      <c r="C36" s="123"/>
      <c r="D36" s="8"/>
      <c r="E36" s="30">
        <f>(ATAN2(E33,E34))*180/PI()</f>
        <v>-146.01022318715593</v>
      </c>
      <c r="F36" s="21"/>
      <c r="G36" s="17"/>
      <c r="H36" s="17"/>
      <c r="I36" s="77"/>
      <c r="J36" s="8"/>
      <c r="K36" s="8"/>
      <c r="L36" s="8"/>
      <c r="M36" s="8"/>
      <c r="N36" s="8"/>
      <c r="O36" s="73"/>
      <c r="P36" s="8"/>
      <c r="Q36" s="8"/>
      <c r="R36" s="62"/>
      <c r="S36" s="8"/>
      <c r="T36" s="8"/>
      <c r="U36" s="8"/>
      <c r="V36" s="8"/>
      <c r="W36" s="8"/>
      <c r="X36" s="8"/>
      <c r="Y36" s="8"/>
      <c r="Z36" s="62"/>
      <c r="AA36" s="8"/>
      <c r="AB36" s="8"/>
      <c r="AC36" s="8"/>
      <c r="AD36" s="8"/>
      <c r="AE36" s="8"/>
      <c r="AF36" s="8"/>
      <c r="AG36" s="62"/>
      <c r="AH36" s="8"/>
      <c r="AI36" s="8"/>
      <c r="AJ36" s="8"/>
      <c r="AK36" s="8"/>
      <c r="AL36" s="8"/>
      <c r="AM36" s="8"/>
      <c r="AN36" s="8"/>
      <c r="AO36" s="8"/>
      <c r="AP36" s="13"/>
    </row>
    <row r="37" spans="2:42" x14ac:dyDescent="0.25">
      <c r="B37" s="23"/>
      <c r="C37" s="24"/>
      <c r="D37" s="8"/>
      <c r="E37" s="21"/>
      <c r="F37" s="21"/>
      <c r="G37" s="17"/>
      <c r="H37" s="17"/>
      <c r="I37" s="77"/>
      <c r="J37" s="8"/>
      <c r="K37" s="8"/>
      <c r="L37" s="8"/>
      <c r="M37" s="8"/>
      <c r="N37" s="8"/>
      <c r="O37" s="73"/>
      <c r="P37" s="8"/>
      <c r="Q37" s="8"/>
      <c r="R37" s="62"/>
      <c r="S37" s="8"/>
      <c r="T37" s="8"/>
      <c r="U37" s="8"/>
      <c r="V37" s="8"/>
      <c r="W37" s="8"/>
      <c r="X37" s="8"/>
      <c r="Y37" s="8"/>
      <c r="Z37" s="62"/>
      <c r="AA37" s="8"/>
      <c r="AB37" s="8"/>
      <c r="AC37" s="8"/>
      <c r="AD37" s="8"/>
      <c r="AE37" s="8"/>
      <c r="AF37" s="8"/>
      <c r="AG37" s="62"/>
      <c r="AH37" s="8"/>
      <c r="AI37" s="8"/>
      <c r="AJ37" s="8"/>
      <c r="AK37" s="8"/>
      <c r="AL37" s="8"/>
      <c r="AM37" s="8"/>
      <c r="AN37" s="8"/>
      <c r="AO37" s="8"/>
      <c r="AP37" s="13"/>
    </row>
    <row r="38" spans="2:42" ht="15" customHeight="1" x14ac:dyDescent="0.25">
      <c r="B38" s="12"/>
      <c r="C38" s="8"/>
      <c r="D38" s="8"/>
      <c r="E38" s="21"/>
      <c r="F38" s="21"/>
      <c r="G38" s="17"/>
      <c r="H38" s="17"/>
      <c r="I38" s="77"/>
      <c r="J38" s="127" t="s">
        <v>9</v>
      </c>
      <c r="K38" s="34">
        <f>COS(L32)</f>
        <v>0.93969262078590843</v>
      </c>
      <c r="L38" s="34">
        <f>SIN(L32)</f>
        <v>0.34202014332566871</v>
      </c>
      <c r="M38" s="34">
        <v>0</v>
      </c>
      <c r="N38" s="8"/>
      <c r="O38" s="73"/>
      <c r="P38" s="8"/>
      <c r="Q38" s="8"/>
      <c r="R38" s="62"/>
      <c r="S38" s="127" t="s">
        <v>13</v>
      </c>
      <c r="T38" s="34">
        <v>1</v>
      </c>
      <c r="U38" s="34">
        <v>0</v>
      </c>
      <c r="V38" s="34">
        <v>0</v>
      </c>
      <c r="W38" s="27"/>
      <c r="X38" s="8"/>
      <c r="Y38" s="8"/>
      <c r="Z38" s="62"/>
      <c r="AA38" s="127" t="s">
        <v>15</v>
      </c>
      <c r="AB38" s="34">
        <f>COS(AC32)</f>
        <v>-0.76604444311897801</v>
      </c>
      <c r="AC38" s="34">
        <f>SIN(AC32)</f>
        <v>-0.64278760968653925</v>
      </c>
      <c r="AD38" s="34">
        <v>0</v>
      </c>
      <c r="AE38" s="8"/>
      <c r="AF38" s="8"/>
      <c r="AG38" s="62"/>
      <c r="AH38" s="8"/>
      <c r="AI38" s="8"/>
      <c r="AJ38" s="8"/>
      <c r="AK38" s="8"/>
      <c r="AL38" s="8"/>
      <c r="AM38" s="8"/>
      <c r="AN38" s="8"/>
      <c r="AO38" s="8"/>
      <c r="AP38" s="13"/>
    </row>
    <row r="39" spans="2:42" ht="15" customHeight="1" x14ac:dyDescent="0.25">
      <c r="B39" s="12"/>
      <c r="C39" s="8"/>
      <c r="D39" s="8"/>
      <c r="E39" s="139" t="s">
        <v>27</v>
      </c>
      <c r="F39" s="139"/>
      <c r="G39" s="139"/>
      <c r="H39" s="139"/>
      <c r="I39" s="140"/>
      <c r="J39" s="127"/>
      <c r="K39" s="34">
        <f>-SIN(L32)</f>
        <v>-0.34202014332566871</v>
      </c>
      <c r="L39" s="34">
        <f>COS(L32)</f>
        <v>0.93969262078590843</v>
      </c>
      <c r="M39" s="34">
        <v>0</v>
      </c>
      <c r="N39" s="8"/>
      <c r="O39" s="73"/>
      <c r="P39" s="8"/>
      <c r="Q39" s="8"/>
      <c r="R39" s="62"/>
      <c r="S39" s="127"/>
      <c r="T39" s="34">
        <v>0</v>
      </c>
      <c r="U39" s="34">
        <f>COS(U32)</f>
        <v>0.4539904997395468</v>
      </c>
      <c r="V39" s="34">
        <f>SIN(U32)</f>
        <v>0.89100652418836779</v>
      </c>
      <c r="W39" s="27"/>
      <c r="X39" s="8"/>
      <c r="Y39" s="8"/>
      <c r="Z39" s="62"/>
      <c r="AA39" s="127"/>
      <c r="AB39" s="34">
        <f>-SIN(AC32)</f>
        <v>0.64278760968653925</v>
      </c>
      <c r="AC39" s="34">
        <f>COS(AC32)</f>
        <v>-0.76604444311897801</v>
      </c>
      <c r="AD39" s="34">
        <v>0</v>
      </c>
      <c r="AE39" s="8"/>
      <c r="AF39" s="8"/>
      <c r="AG39" s="62"/>
      <c r="AH39" s="8"/>
      <c r="AI39" s="8"/>
      <c r="AJ39" s="8"/>
      <c r="AK39" s="8"/>
      <c r="AL39" s="8"/>
      <c r="AM39" s="8"/>
      <c r="AN39" s="8"/>
      <c r="AO39" s="8"/>
      <c r="AP39" s="13"/>
    </row>
    <row r="40" spans="2:42" ht="15" customHeight="1" x14ac:dyDescent="0.25">
      <c r="B40" s="12"/>
      <c r="C40" s="8"/>
      <c r="D40" s="8"/>
      <c r="E40" s="21"/>
      <c r="F40" s="21"/>
      <c r="G40" s="21"/>
      <c r="H40" s="8"/>
      <c r="I40" s="62"/>
      <c r="J40" s="127"/>
      <c r="K40" s="34">
        <v>0</v>
      </c>
      <c r="L40" s="34">
        <v>0</v>
      </c>
      <c r="M40" s="34">
        <v>1</v>
      </c>
      <c r="N40" s="8"/>
      <c r="O40" s="73"/>
      <c r="P40" s="8"/>
      <c r="Q40" s="8"/>
      <c r="R40" s="62"/>
      <c r="S40" s="127"/>
      <c r="T40" s="34">
        <v>0</v>
      </c>
      <c r="U40" s="34">
        <f>-SIN(U32)</f>
        <v>-0.89100652418836779</v>
      </c>
      <c r="V40" s="34">
        <f>COS(U32)</f>
        <v>0.4539904997395468</v>
      </c>
      <c r="W40" s="27"/>
      <c r="X40" s="8"/>
      <c r="Y40" s="8"/>
      <c r="Z40" s="62"/>
      <c r="AA40" s="127"/>
      <c r="AB40" s="34">
        <v>0</v>
      </c>
      <c r="AC40" s="34">
        <v>0</v>
      </c>
      <c r="AD40" s="34">
        <v>1</v>
      </c>
      <c r="AE40" s="8"/>
      <c r="AF40" s="8"/>
      <c r="AG40" s="62"/>
      <c r="AH40" s="8"/>
      <c r="AI40" s="8"/>
      <c r="AJ40" s="8"/>
      <c r="AK40" s="8"/>
      <c r="AL40" s="8"/>
      <c r="AM40" s="8"/>
      <c r="AN40" s="8"/>
      <c r="AO40" s="8"/>
      <c r="AP40" s="13"/>
    </row>
    <row r="41" spans="2:42" x14ac:dyDescent="0.25">
      <c r="B41" s="12"/>
      <c r="C41" s="8"/>
      <c r="D41" s="8"/>
      <c r="E41" s="8"/>
      <c r="F41" s="8"/>
      <c r="G41" s="8"/>
      <c r="H41" s="8"/>
      <c r="I41" s="62"/>
      <c r="J41" s="8"/>
      <c r="K41" s="8"/>
      <c r="L41" s="8"/>
      <c r="M41" s="8"/>
      <c r="N41" s="8"/>
      <c r="O41" s="8"/>
      <c r="P41" s="8"/>
      <c r="Q41" s="8"/>
      <c r="R41" s="62"/>
      <c r="S41" s="8"/>
      <c r="T41" s="8"/>
      <c r="U41" s="8"/>
      <c r="V41" s="27"/>
      <c r="W41" s="27"/>
      <c r="X41" s="27"/>
      <c r="Y41" s="8"/>
      <c r="Z41" s="62"/>
      <c r="AA41" s="8"/>
      <c r="AB41" s="8"/>
      <c r="AC41" s="8"/>
      <c r="AD41" s="8"/>
      <c r="AE41" s="8"/>
      <c r="AF41" s="8"/>
      <c r="AG41" s="62"/>
      <c r="AH41" s="27"/>
      <c r="AI41" s="8"/>
      <c r="AJ41" s="27"/>
      <c r="AK41" s="27"/>
      <c r="AL41" s="8"/>
      <c r="AM41" s="8"/>
      <c r="AN41" s="8"/>
      <c r="AO41" s="8"/>
      <c r="AP41" s="13"/>
    </row>
    <row r="42" spans="2:42" x14ac:dyDescent="0.25">
      <c r="B42" s="12"/>
      <c r="C42" s="8"/>
      <c r="D42" s="8"/>
      <c r="E42" s="8"/>
      <c r="F42" s="8"/>
      <c r="G42" s="8"/>
      <c r="H42" s="8"/>
      <c r="I42" s="62"/>
      <c r="J42" s="8"/>
      <c r="K42" s="8"/>
      <c r="L42" s="8"/>
      <c r="M42" s="8"/>
      <c r="N42" s="8"/>
      <c r="O42" s="8"/>
      <c r="P42" s="8"/>
      <c r="Q42" s="8"/>
      <c r="R42" s="62"/>
      <c r="S42" s="8"/>
      <c r="T42" s="8"/>
      <c r="U42" s="8"/>
      <c r="V42" s="8"/>
      <c r="W42" s="8"/>
      <c r="X42" s="8"/>
      <c r="Y42" s="8"/>
      <c r="Z42" s="62"/>
      <c r="AA42" s="8"/>
      <c r="AB42" s="8"/>
      <c r="AC42" s="8"/>
      <c r="AD42" s="8"/>
      <c r="AE42" s="8"/>
      <c r="AF42" s="8"/>
      <c r="AG42" s="62"/>
      <c r="AH42" s="8"/>
      <c r="AI42" s="8"/>
      <c r="AJ42" s="8"/>
      <c r="AK42" s="8"/>
      <c r="AL42" s="8"/>
      <c r="AM42" s="8"/>
      <c r="AN42" s="8"/>
      <c r="AO42" s="8"/>
      <c r="AP42" s="13"/>
    </row>
    <row r="43" spans="2:42" x14ac:dyDescent="0.25">
      <c r="B43" s="12"/>
      <c r="C43" s="8"/>
      <c r="D43" s="8"/>
      <c r="E43" s="8"/>
      <c r="F43" s="8"/>
      <c r="G43" s="8"/>
      <c r="H43" s="8"/>
      <c r="I43" s="62"/>
      <c r="J43" s="8"/>
      <c r="K43" s="8"/>
      <c r="L43" s="8"/>
      <c r="M43" s="8"/>
      <c r="N43" s="8"/>
      <c r="O43" s="8"/>
      <c r="P43" s="8"/>
      <c r="Q43" s="8"/>
      <c r="R43" s="62"/>
      <c r="S43" s="8"/>
      <c r="T43" s="8"/>
      <c r="U43" s="8"/>
      <c r="V43" s="8"/>
      <c r="W43" s="8"/>
      <c r="X43" s="8"/>
      <c r="Y43" s="8"/>
      <c r="Z43" s="62"/>
      <c r="AA43" s="8"/>
      <c r="AB43" s="8"/>
      <c r="AC43" s="8"/>
      <c r="AD43" s="8"/>
      <c r="AE43" s="8"/>
      <c r="AF43" s="8"/>
      <c r="AG43" s="62"/>
      <c r="AH43" s="8"/>
      <c r="AI43" s="8"/>
      <c r="AJ43" s="8"/>
      <c r="AK43" s="8"/>
      <c r="AL43" s="8"/>
      <c r="AM43" s="8"/>
      <c r="AN43" s="8"/>
      <c r="AO43" s="8"/>
      <c r="AP43" s="13"/>
    </row>
    <row r="44" spans="2:42" x14ac:dyDescent="0.25">
      <c r="B44" s="12"/>
      <c r="C44" s="8"/>
      <c r="D44" s="8"/>
      <c r="E44" s="8"/>
      <c r="F44" s="8"/>
      <c r="G44" s="8"/>
      <c r="H44" s="8"/>
      <c r="I44" s="62"/>
      <c r="J44" s="8"/>
      <c r="K44" s="8"/>
      <c r="L44" s="8"/>
      <c r="M44" s="8"/>
      <c r="N44" s="8"/>
      <c r="O44" s="8"/>
      <c r="P44" s="8"/>
      <c r="Q44" s="8"/>
      <c r="R44" s="62"/>
      <c r="S44" s="8"/>
      <c r="T44" s="8"/>
      <c r="U44" s="8"/>
      <c r="V44" s="8"/>
      <c r="W44" s="8"/>
      <c r="X44" s="8"/>
      <c r="Y44" s="8"/>
      <c r="Z44" s="62"/>
      <c r="AA44" s="8"/>
      <c r="AB44" s="8"/>
      <c r="AC44" s="8"/>
      <c r="AD44" s="8"/>
      <c r="AE44" s="8"/>
      <c r="AF44" s="8"/>
      <c r="AG44" s="62"/>
      <c r="AH44" s="8"/>
      <c r="AI44" s="8"/>
      <c r="AK44" s="8"/>
      <c r="AL44" s="8"/>
      <c r="AM44" s="8"/>
      <c r="AN44" s="8"/>
      <c r="AO44" s="8"/>
      <c r="AP44" s="13"/>
    </row>
    <row r="45" spans="2:42" x14ac:dyDescent="0.25">
      <c r="B45" s="12"/>
      <c r="C45" s="8"/>
      <c r="D45" s="8"/>
      <c r="E45" s="8"/>
      <c r="F45" s="8"/>
      <c r="G45" s="8"/>
      <c r="H45" s="8"/>
      <c r="I45" s="62"/>
      <c r="J45" s="8"/>
      <c r="K45" s="8"/>
      <c r="L45" s="8"/>
      <c r="M45" s="8"/>
      <c r="N45" s="8"/>
      <c r="O45" s="8"/>
      <c r="P45" s="8"/>
      <c r="Q45" s="8"/>
      <c r="R45" s="62"/>
      <c r="S45" s="8"/>
      <c r="T45" s="8"/>
      <c r="U45" s="8"/>
      <c r="V45" s="8"/>
      <c r="W45" s="8"/>
      <c r="X45" s="8"/>
      <c r="Y45" s="8"/>
      <c r="Z45" s="62"/>
      <c r="AA45" s="8"/>
      <c r="AB45" s="8"/>
      <c r="AC45" s="8"/>
      <c r="AD45" s="8"/>
      <c r="AE45" s="8"/>
      <c r="AF45" s="8"/>
      <c r="AG45" s="62"/>
      <c r="AH45" s="8"/>
      <c r="AI45" s="8"/>
      <c r="AJ45" s="8"/>
      <c r="AK45" s="8"/>
      <c r="AL45" s="8"/>
      <c r="AM45" s="8"/>
      <c r="AN45" s="8"/>
      <c r="AO45" s="8"/>
      <c r="AP45" s="13"/>
    </row>
    <row r="46" spans="2:42" x14ac:dyDescent="0.25">
      <c r="B46" s="12"/>
      <c r="C46" s="8"/>
      <c r="D46" s="8"/>
      <c r="E46" s="8"/>
      <c r="F46" s="8"/>
      <c r="G46" s="8"/>
      <c r="H46" s="8"/>
      <c r="I46" s="62"/>
      <c r="J46" s="8"/>
      <c r="K46" s="8"/>
      <c r="L46" s="8"/>
      <c r="M46" s="8"/>
      <c r="N46" s="8"/>
      <c r="O46" s="8"/>
      <c r="P46" s="8"/>
      <c r="Q46" s="8"/>
      <c r="R46" s="62"/>
      <c r="S46" s="8"/>
      <c r="T46" s="8"/>
      <c r="U46" s="8"/>
      <c r="V46" s="8"/>
      <c r="W46" s="8"/>
      <c r="X46" s="8"/>
      <c r="Y46" s="8"/>
      <c r="Z46" s="62"/>
      <c r="AA46" s="8"/>
      <c r="AB46" s="8"/>
      <c r="AC46" s="8"/>
      <c r="AD46" s="8"/>
      <c r="AE46" s="8"/>
      <c r="AF46" s="8"/>
      <c r="AG46" s="62"/>
      <c r="AH46" s="8"/>
      <c r="AI46" s="8"/>
      <c r="AJ46" s="8"/>
      <c r="AL46" s="8"/>
      <c r="AM46" s="8"/>
      <c r="AN46" s="8"/>
      <c r="AO46" s="8"/>
      <c r="AP46" s="13"/>
    </row>
    <row r="47" spans="2:42" x14ac:dyDescent="0.25">
      <c r="B47" s="12"/>
      <c r="C47" s="8"/>
      <c r="D47" s="8"/>
      <c r="E47" s="8"/>
      <c r="F47" s="8"/>
      <c r="G47" s="8"/>
      <c r="H47" s="8"/>
      <c r="I47" s="62"/>
      <c r="J47" s="8"/>
      <c r="K47" s="8"/>
      <c r="L47" s="8"/>
      <c r="M47" s="8"/>
      <c r="N47" s="8"/>
      <c r="O47" s="8"/>
      <c r="P47" s="8"/>
      <c r="Q47" s="8"/>
      <c r="R47" s="62"/>
      <c r="S47" s="8"/>
      <c r="T47" s="8"/>
      <c r="U47" s="8"/>
      <c r="V47" s="8"/>
      <c r="W47" s="8"/>
      <c r="X47" s="8"/>
      <c r="Y47" s="8"/>
      <c r="Z47" s="62"/>
      <c r="AA47" s="8"/>
      <c r="AB47" s="8"/>
      <c r="AC47" s="8"/>
      <c r="AD47" s="8"/>
      <c r="AE47" s="8"/>
      <c r="AF47" s="8"/>
      <c r="AG47" s="62"/>
      <c r="AH47" s="8"/>
      <c r="AI47" s="8"/>
      <c r="AJ47" s="8"/>
      <c r="AK47" s="8"/>
      <c r="AL47" s="8"/>
      <c r="AM47" s="8"/>
      <c r="AN47" s="8"/>
      <c r="AO47" s="8"/>
      <c r="AP47" s="13"/>
    </row>
    <row r="48" spans="2:42" x14ac:dyDescent="0.25">
      <c r="B48" s="12"/>
      <c r="C48" s="8"/>
      <c r="D48" s="8"/>
      <c r="E48" s="8"/>
      <c r="F48" s="8"/>
      <c r="G48" s="8"/>
      <c r="H48" s="8"/>
      <c r="I48" s="62"/>
      <c r="J48" s="8"/>
      <c r="K48" s="8"/>
      <c r="L48" s="8"/>
      <c r="M48" s="8"/>
      <c r="N48" s="8"/>
      <c r="O48" s="8"/>
      <c r="P48" s="8"/>
      <c r="Q48" s="8"/>
      <c r="R48" s="62"/>
      <c r="S48" s="8"/>
      <c r="T48" s="8"/>
      <c r="U48" s="8"/>
      <c r="V48" s="8"/>
      <c r="W48" s="8"/>
      <c r="X48" s="8"/>
      <c r="Y48" s="8"/>
      <c r="Z48" s="62"/>
      <c r="AA48" s="8"/>
      <c r="AB48" s="8"/>
      <c r="AC48" s="8"/>
      <c r="AD48" s="8"/>
      <c r="AE48" s="8"/>
      <c r="AF48" s="8"/>
      <c r="AG48" s="62"/>
      <c r="AH48" s="8"/>
      <c r="AJ48" s="8"/>
      <c r="AK48" s="8"/>
      <c r="AL48" s="8"/>
      <c r="AM48" s="8"/>
      <c r="AN48" s="8"/>
      <c r="AO48" s="8"/>
      <c r="AP48" s="13"/>
    </row>
    <row r="49" spans="1:42" x14ac:dyDescent="0.25">
      <c r="B49" s="12"/>
      <c r="C49" s="8"/>
      <c r="D49" s="8"/>
      <c r="E49" s="8"/>
      <c r="F49" s="8"/>
      <c r="G49" s="8"/>
      <c r="H49" s="8"/>
      <c r="I49" s="62"/>
      <c r="J49" s="8"/>
      <c r="K49" s="8"/>
      <c r="L49" s="8"/>
      <c r="M49" s="8"/>
      <c r="N49" s="8"/>
      <c r="O49" s="8"/>
      <c r="P49" s="8"/>
      <c r="Q49" s="8"/>
      <c r="R49" s="62"/>
      <c r="S49" s="8"/>
      <c r="T49" s="8"/>
      <c r="U49" s="8"/>
      <c r="V49" s="8"/>
      <c r="W49" s="8"/>
      <c r="X49" s="8"/>
      <c r="Y49" s="8"/>
      <c r="Z49" s="62"/>
      <c r="AA49" s="8"/>
      <c r="AB49" s="8"/>
      <c r="AC49" s="8"/>
      <c r="AD49" s="8"/>
      <c r="AE49" s="8"/>
      <c r="AF49" s="8"/>
      <c r="AG49" s="62"/>
      <c r="AH49" s="8"/>
      <c r="AI49" s="8"/>
      <c r="AJ49" s="8"/>
      <c r="AK49" s="8"/>
      <c r="AL49" s="8"/>
      <c r="AM49" s="8"/>
      <c r="AN49" s="8"/>
      <c r="AO49" s="8"/>
      <c r="AP49" s="13"/>
    </row>
    <row r="50" spans="1:42" x14ac:dyDescent="0.25">
      <c r="B50" s="12"/>
      <c r="C50" s="8"/>
      <c r="D50" s="8"/>
      <c r="E50" s="8"/>
      <c r="F50" s="8"/>
      <c r="G50" s="8"/>
      <c r="H50" s="8"/>
      <c r="I50" s="62"/>
      <c r="J50" s="8"/>
      <c r="K50" s="8"/>
      <c r="L50" s="8"/>
      <c r="M50" s="8"/>
      <c r="N50" s="8"/>
      <c r="O50" s="8"/>
      <c r="P50" s="8"/>
      <c r="Q50" s="8"/>
      <c r="R50" s="62"/>
      <c r="S50" s="8"/>
      <c r="T50" s="8"/>
      <c r="U50" s="8"/>
      <c r="V50" s="8"/>
      <c r="W50" s="8"/>
      <c r="X50" s="8"/>
      <c r="Y50" s="8"/>
      <c r="Z50" s="62"/>
      <c r="AA50" s="8"/>
      <c r="AB50" s="8"/>
      <c r="AC50" s="8"/>
      <c r="AD50" s="8"/>
      <c r="AE50" s="8"/>
      <c r="AF50" s="8"/>
      <c r="AG50" s="62"/>
      <c r="AH50" s="8"/>
      <c r="AI50" s="8"/>
      <c r="AJ50" s="8"/>
      <c r="AK50" s="8"/>
      <c r="AL50" s="8"/>
      <c r="AM50" s="8"/>
      <c r="AN50" s="8"/>
      <c r="AO50" s="8"/>
      <c r="AP50" s="13"/>
    </row>
    <row r="51" spans="1:42" x14ac:dyDescent="0.25">
      <c r="B51" s="12"/>
      <c r="C51" s="8"/>
      <c r="D51" s="8"/>
      <c r="E51" s="8"/>
      <c r="F51" s="8"/>
      <c r="G51" s="8"/>
      <c r="H51" s="8"/>
      <c r="I51" s="62"/>
      <c r="J51" s="8"/>
      <c r="K51" s="8"/>
      <c r="L51" s="8"/>
      <c r="M51" s="8"/>
      <c r="N51" s="8"/>
      <c r="O51" s="8"/>
      <c r="P51" s="8"/>
      <c r="Q51" s="8"/>
      <c r="R51" s="62"/>
      <c r="S51" s="8"/>
      <c r="T51" s="8"/>
      <c r="U51" s="8"/>
      <c r="V51" s="8"/>
      <c r="W51" s="8"/>
      <c r="X51" s="8"/>
      <c r="Y51" s="8"/>
      <c r="Z51" s="62"/>
      <c r="AA51" s="8"/>
      <c r="AB51" s="8"/>
      <c r="AC51" s="8"/>
      <c r="AD51" s="8"/>
      <c r="AE51" s="8"/>
      <c r="AF51" s="8"/>
      <c r="AG51" s="62"/>
      <c r="AH51" s="8"/>
      <c r="AI51" s="8"/>
      <c r="AJ51" s="8"/>
      <c r="AK51" s="8"/>
      <c r="AL51" s="8"/>
      <c r="AM51" s="8"/>
      <c r="AN51" s="8"/>
      <c r="AO51" s="8"/>
      <c r="AP51" s="13"/>
    </row>
    <row r="52" spans="1:42" x14ac:dyDescent="0.25">
      <c r="B52" s="12"/>
      <c r="C52" s="8"/>
      <c r="D52" s="8"/>
      <c r="E52" s="8"/>
      <c r="F52" s="8"/>
      <c r="G52" s="8"/>
      <c r="H52" s="8"/>
      <c r="I52" s="62"/>
      <c r="J52" s="8"/>
      <c r="K52" s="8"/>
      <c r="L52" s="8"/>
      <c r="M52" s="8"/>
      <c r="N52" s="8"/>
      <c r="O52" s="8"/>
      <c r="P52" s="8"/>
      <c r="Q52" s="8"/>
      <c r="R52" s="62"/>
      <c r="S52" s="8"/>
      <c r="T52" s="8"/>
      <c r="U52" s="8"/>
      <c r="V52" s="8"/>
      <c r="W52" s="8"/>
      <c r="X52" s="8"/>
      <c r="Y52" s="8"/>
      <c r="Z52" s="62"/>
      <c r="AA52" s="8"/>
      <c r="AB52" s="8"/>
      <c r="AC52" s="8"/>
      <c r="AD52" s="8"/>
      <c r="AE52" s="8"/>
      <c r="AF52" s="8"/>
      <c r="AG52" s="62"/>
      <c r="AH52" s="8"/>
      <c r="AI52" s="8"/>
      <c r="AJ52" s="8"/>
      <c r="AK52" s="8"/>
      <c r="AL52" s="8"/>
      <c r="AM52" s="8"/>
      <c r="AN52" s="8"/>
      <c r="AO52" s="8"/>
      <c r="AP52" s="13"/>
    </row>
    <row r="53" spans="1:42" x14ac:dyDescent="0.25">
      <c r="B53" s="12"/>
      <c r="C53" s="8"/>
      <c r="D53" s="8"/>
      <c r="E53" s="8"/>
      <c r="F53" s="8"/>
      <c r="G53" s="8"/>
      <c r="H53" s="8"/>
      <c r="I53" s="62"/>
      <c r="J53" s="8"/>
      <c r="K53" s="8"/>
      <c r="L53" s="8"/>
      <c r="M53" s="8"/>
      <c r="N53" s="8"/>
      <c r="O53" s="8"/>
      <c r="P53" s="8"/>
      <c r="Q53" s="8"/>
      <c r="R53" s="62"/>
      <c r="S53" s="8"/>
      <c r="T53" s="8"/>
      <c r="U53" s="8"/>
      <c r="V53" s="8"/>
      <c r="W53" s="8"/>
      <c r="X53" s="8"/>
      <c r="Y53" s="8"/>
      <c r="Z53" s="62"/>
      <c r="AA53" s="8"/>
      <c r="AB53" s="8"/>
      <c r="AC53" s="8"/>
      <c r="AD53" s="8"/>
      <c r="AE53" s="8"/>
      <c r="AF53" s="8"/>
      <c r="AG53" s="62"/>
      <c r="AH53" s="8"/>
      <c r="AI53" s="8" t="s">
        <v>12</v>
      </c>
      <c r="AJ53" s="8"/>
      <c r="AK53" s="8"/>
      <c r="AL53" s="8"/>
      <c r="AM53" s="8"/>
      <c r="AN53" s="8"/>
      <c r="AO53" s="8"/>
      <c r="AP53" s="13"/>
    </row>
    <row r="54" spans="1:42" x14ac:dyDescent="0.25">
      <c r="B54" s="12"/>
      <c r="C54" s="8"/>
      <c r="D54" s="8"/>
      <c r="E54" s="8"/>
      <c r="F54" s="8"/>
      <c r="G54" s="8"/>
      <c r="H54" s="8"/>
      <c r="I54" s="62"/>
      <c r="J54" s="8"/>
      <c r="K54" s="8"/>
      <c r="L54" s="8"/>
      <c r="M54" s="8"/>
      <c r="N54" s="8"/>
      <c r="O54" s="8"/>
      <c r="P54" s="8"/>
      <c r="Q54" s="8"/>
      <c r="R54" s="62"/>
      <c r="S54" s="8"/>
      <c r="T54" s="8"/>
      <c r="U54" s="8"/>
      <c r="V54" s="8"/>
      <c r="W54" s="8"/>
      <c r="X54" s="8"/>
      <c r="Y54" s="8"/>
      <c r="Z54" s="62"/>
      <c r="AA54" s="8"/>
      <c r="AB54" s="8"/>
      <c r="AC54" s="8"/>
      <c r="AD54" s="8"/>
      <c r="AE54" s="8"/>
      <c r="AF54" s="8"/>
      <c r="AG54" s="62"/>
      <c r="AH54" s="8"/>
      <c r="AI54" s="8"/>
      <c r="AJ54" s="8"/>
      <c r="AK54" s="8"/>
      <c r="AL54" s="8"/>
      <c r="AM54" s="8"/>
      <c r="AN54" s="8"/>
      <c r="AO54" s="8"/>
      <c r="AP54" s="13"/>
    </row>
    <row r="55" spans="1:42" x14ac:dyDescent="0.25">
      <c r="B55" s="12"/>
      <c r="C55" s="8"/>
      <c r="D55" s="8"/>
      <c r="E55" s="8"/>
      <c r="F55" s="8"/>
      <c r="G55" s="8"/>
      <c r="H55" s="8"/>
      <c r="I55" s="62"/>
      <c r="J55" s="8"/>
      <c r="K55" s="8"/>
      <c r="L55" s="8"/>
      <c r="M55" s="8"/>
      <c r="N55" s="8"/>
      <c r="O55" s="8"/>
      <c r="P55" s="8"/>
      <c r="Q55" s="8"/>
      <c r="R55" s="62"/>
      <c r="S55" s="8"/>
      <c r="T55" s="8"/>
      <c r="U55" s="8"/>
      <c r="V55" s="8"/>
      <c r="W55" s="8"/>
      <c r="X55" s="8"/>
      <c r="Y55" s="8"/>
      <c r="Z55" s="62"/>
      <c r="AA55" s="8"/>
      <c r="AB55" s="8"/>
      <c r="AC55" s="8"/>
      <c r="AD55" s="8"/>
      <c r="AE55" s="8"/>
      <c r="AF55" s="8"/>
      <c r="AG55" s="62"/>
      <c r="AH55" s="8"/>
      <c r="AI55" s="8"/>
      <c r="AJ55" s="8"/>
      <c r="AK55" s="8"/>
      <c r="AL55" s="8"/>
      <c r="AM55" s="8"/>
      <c r="AN55" s="8"/>
      <c r="AO55" s="8"/>
      <c r="AP55" s="13"/>
    </row>
    <row r="56" spans="1:42" x14ac:dyDescent="0.25">
      <c r="B56" s="12"/>
      <c r="C56" s="8"/>
      <c r="D56" s="8"/>
      <c r="E56" s="8"/>
      <c r="F56" s="8"/>
      <c r="G56" s="8"/>
      <c r="H56" s="8"/>
      <c r="I56" s="62"/>
      <c r="J56" s="8"/>
      <c r="K56" s="8"/>
      <c r="L56" s="8"/>
      <c r="M56" s="8"/>
      <c r="N56" s="8"/>
      <c r="O56" s="8"/>
      <c r="P56" s="8"/>
      <c r="Q56" s="8"/>
      <c r="R56" s="62"/>
      <c r="S56" s="8"/>
      <c r="T56" s="8"/>
      <c r="U56" s="8"/>
      <c r="V56" s="8"/>
      <c r="W56" s="8"/>
      <c r="X56" s="8"/>
      <c r="Y56" s="8"/>
      <c r="Z56" s="62"/>
      <c r="AA56" s="8"/>
      <c r="AB56" s="8"/>
      <c r="AC56" s="8"/>
      <c r="AD56" s="8"/>
      <c r="AE56" s="8"/>
      <c r="AF56" s="8"/>
      <c r="AG56" s="62"/>
      <c r="AH56" s="8"/>
      <c r="AI56" s="8"/>
      <c r="AJ56" s="8"/>
      <c r="AK56" s="8"/>
      <c r="AL56" s="8"/>
      <c r="AM56" s="8"/>
      <c r="AN56" s="8"/>
      <c r="AO56" s="8"/>
      <c r="AP56" s="13"/>
    </row>
    <row r="57" spans="1:42" x14ac:dyDescent="0.25">
      <c r="B57" s="12"/>
      <c r="C57" s="8"/>
      <c r="D57" s="8"/>
      <c r="E57" s="8"/>
      <c r="F57" s="8"/>
      <c r="G57" s="8"/>
      <c r="H57" s="8"/>
      <c r="I57" s="62"/>
      <c r="J57" s="8"/>
      <c r="K57" s="8"/>
      <c r="L57" s="8"/>
      <c r="M57" s="8"/>
      <c r="N57" s="8"/>
      <c r="O57" s="8"/>
      <c r="P57" s="8"/>
      <c r="Q57" s="8"/>
      <c r="R57" s="62"/>
      <c r="S57" s="8"/>
      <c r="T57" s="8"/>
      <c r="U57" s="8"/>
      <c r="V57" s="8"/>
      <c r="W57" s="8"/>
      <c r="X57" s="8"/>
      <c r="Y57" s="8"/>
      <c r="Z57" s="62"/>
      <c r="AA57" s="8"/>
      <c r="AB57" s="8"/>
      <c r="AC57" s="8"/>
      <c r="AD57" s="8"/>
      <c r="AE57" s="8"/>
      <c r="AF57" s="8"/>
      <c r="AG57" s="62"/>
      <c r="AH57" s="8"/>
      <c r="AI57" s="8"/>
      <c r="AJ57" s="8"/>
      <c r="AK57" s="8"/>
      <c r="AL57" s="8"/>
      <c r="AM57" s="8"/>
      <c r="AN57" s="8"/>
      <c r="AO57" s="8"/>
      <c r="AP57" s="13"/>
    </row>
    <row r="58" spans="1:42" x14ac:dyDescent="0.25">
      <c r="B58" s="12"/>
      <c r="C58" s="8"/>
      <c r="D58" s="8"/>
      <c r="E58" s="8"/>
      <c r="F58" s="8"/>
      <c r="G58" s="8"/>
      <c r="H58" s="8"/>
      <c r="I58" s="62"/>
      <c r="J58" s="8"/>
      <c r="K58" s="8"/>
      <c r="L58" s="8"/>
      <c r="M58" s="8"/>
      <c r="N58" s="8"/>
      <c r="O58" s="8"/>
      <c r="P58" s="8"/>
      <c r="Q58" s="8"/>
      <c r="R58" s="62"/>
      <c r="S58" s="8"/>
      <c r="T58" s="8"/>
      <c r="U58" s="8"/>
      <c r="V58" s="8"/>
      <c r="W58" s="8"/>
      <c r="X58" s="8"/>
      <c r="Y58" s="8"/>
      <c r="Z58" s="62"/>
      <c r="AA58" s="8"/>
      <c r="AB58" s="8"/>
      <c r="AC58" s="8"/>
      <c r="AD58" s="8"/>
      <c r="AE58" s="8"/>
      <c r="AF58" s="8"/>
      <c r="AG58" s="62"/>
      <c r="AH58" s="8"/>
      <c r="AI58" s="8"/>
      <c r="AJ58" s="8"/>
      <c r="AK58" s="8"/>
      <c r="AL58" s="8"/>
      <c r="AM58" s="8"/>
      <c r="AN58" s="8"/>
      <c r="AO58" s="8"/>
      <c r="AP58" s="13"/>
    </row>
    <row r="59" spans="1:42" x14ac:dyDescent="0.25">
      <c r="B59" s="12"/>
      <c r="C59" s="8"/>
      <c r="D59" s="8"/>
      <c r="E59" s="8"/>
      <c r="F59" s="8"/>
      <c r="G59" s="8"/>
      <c r="H59" s="8"/>
      <c r="I59" s="62"/>
      <c r="J59" s="8"/>
      <c r="K59" s="8"/>
      <c r="L59" s="8"/>
      <c r="M59" s="8"/>
      <c r="N59" s="8"/>
      <c r="O59" s="8"/>
      <c r="P59" s="8"/>
      <c r="Q59" s="8"/>
      <c r="R59" s="62"/>
      <c r="S59" s="8"/>
      <c r="T59" s="8"/>
      <c r="U59" s="8"/>
      <c r="V59" s="8"/>
      <c r="W59" s="8"/>
      <c r="X59" s="8"/>
      <c r="Y59" s="8"/>
      <c r="Z59" s="62"/>
      <c r="AA59" s="8"/>
      <c r="AB59" s="8"/>
      <c r="AC59" s="8"/>
      <c r="AD59" s="8"/>
      <c r="AE59" s="8"/>
      <c r="AF59" s="8"/>
      <c r="AG59" s="62"/>
      <c r="AH59" s="8"/>
      <c r="AI59" s="8"/>
      <c r="AJ59" s="8"/>
      <c r="AK59" s="8"/>
      <c r="AL59" s="8"/>
      <c r="AM59" s="8"/>
      <c r="AN59" s="8"/>
      <c r="AO59" s="8"/>
      <c r="AP59" s="13"/>
    </row>
    <row r="60" spans="1:42" x14ac:dyDescent="0.25">
      <c r="B60" s="12"/>
      <c r="C60" s="8"/>
      <c r="D60" s="8"/>
      <c r="E60" s="8"/>
      <c r="F60" s="8"/>
      <c r="G60" s="8"/>
      <c r="H60" s="8"/>
      <c r="I60" s="62"/>
      <c r="J60" s="8"/>
      <c r="K60" s="8"/>
      <c r="L60" s="8"/>
      <c r="M60" s="8"/>
      <c r="N60" s="8"/>
      <c r="O60" s="8"/>
      <c r="P60" s="8"/>
      <c r="Q60" s="8"/>
      <c r="R60" s="62"/>
      <c r="S60" s="8"/>
      <c r="T60" s="8"/>
      <c r="U60" s="8"/>
      <c r="V60" s="8"/>
      <c r="W60" s="8"/>
      <c r="X60" s="8"/>
      <c r="Y60" s="8"/>
      <c r="Z60" s="62"/>
      <c r="AA60" s="8"/>
      <c r="AB60" s="8"/>
      <c r="AC60" s="8"/>
      <c r="AD60" s="8"/>
      <c r="AE60" s="8"/>
      <c r="AF60" s="8"/>
      <c r="AG60" s="62"/>
      <c r="AH60" s="8"/>
      <c r="AI60" s="8"/>
      <c r="AJ60" s="8"/>
      <c r="AK60" s="8"/>
      <c r="AL60" s="8"/>
      <c r="AM60" s="8"/>
      <c r="AN60" s="8"/>
      <c r="AO60" s="8"/>
      <c r="AP60" s="13"/>
    </row>
    <row r="61" spans="1:42" x14ac:dyDescent="0.25">
      <c r="B61" s="12"/>
      <c r="C61" s="8"/>
      <c r="D61" s="8"/>
      <c r="E61" s="8"/>
      <c r="F61" s="8"/>
      <c r="G61" s="8"/>
      <c r="H61" s="8"/>
      <c r="I61" s="62"/>
      <c r="J61" s="8"/>
      <c r="K61" s="8"/>
      <c r="L61" s="8"/>
      <c r="M61" s="8"/>
      <c r="N61" s="8"/>
      <c r="O61" s="8"/>
      <c r="P61" s="8"/>
      <c r="Q61" s="8"/>
      <c r="R61" s="62"/>
      <c r="S61" s="8"/>
      <c r="T61" s="8"/>
      <c r="U61" s="8"/>
      <c r="V61" s="8"/>
      <c r="W61" s="8"/>
      <c r="X61" s="8"/>
      <c r="Y61" s="8"/>
      <c r="Z61" s="62"/>
      <c r="AA61" s="8"/>
      <c r="AB61" s="8"/>
      <c r="AC61" s="8"/>
      <c r="AD61" s="8"/>
      <c r="AE61" s="8"/>
      <c r="AF61" s="8"/>
      <c r="AG61" s="62"/>
      <c r="AH61" s="8"/>
      <c r="AI61" s="8"/>
      <c r="AJ61" s="8"/>
      <c r="AK61" s="8"/>
      <c r="AL61" s="8"/>
      <c r="AM61" s="8"/>
      <c r="AN61" s="8"/>
      <c r="AO61" s="8"/>
      <c r="AP61" s="13"/>
    </row>
    <row r="62" spans="1:42" s="3" customFormat="1" ht="15.75" thickBot="1" x14ac:dyDescent="0.3">
      <c r="A62"/>
      <c r="B62" s="14"/>
      <c r="C62" s="15"/>
      <c r="D62" s="15"/>
      <c r="E62" s="15"/>
      <c r="F62" s="15"/>
      <c r="G62" s="15"/>
      <c r="H62" s="15"/>
      <c r="I62" s="63"/>
      <c r="J62" s="15"/>
      <c r="K62" s="15"/>
      <c r="L62" s="15"/>
      <c r="M62" s="15"/>
      <c r="N62" s="15"/>
      <c r="O62" s="15"/>
      <c r="P62" s="15"/>
      <c r="Q62" s="15"/>
      <c r="R62" s="63"/>
      <c r="S62" s="35"/>
      <c r="T62" s="35"/>
      <c r="U62" s="35"/>
      <c r="V62" s="35"/>
      <c r="W62" s="35"/>
      <c r="X62" s="35"/>
      <c r="Y62" s="35"/>
      <c r="Z62" s="75"/>
      <c r="AA62" s="35"/>
      <c r="AB62" s="15"/>
      <c r="AC62" s="15"/>
      <c r="AD62" s="15"/>
      <c r="AE62" s="15"/>
      <c r="AF62" s="35"/>
      <c r="AG62" s="75"/>
      <c r="AH62" s="35"/>
      <c r="AI62" s="35"/>
      <c r="AJ62" s="35"/>
      <c r="AK62" s="35"/>
      <c r="AL62" s="35"/>
      <c r="AM62" s="35"/>
      <c r="AN62" s="35"/>
      <c r="AO62" s="35"/>
      <c r="AP62" s="36"/>
    </row>
    <row r="63" spans="1:42" s="3" customFormat="1" x14ac:dyDescent="0.25">
      <c r="A63" s="78"/>
      <c r="B63" s="79"/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80"/>
      <c r="T63" s="80"/>
      <c r="U63" s="80"/>
      <c r="V63" s="80"/>
      <c r="W63" s="80"/>
      <c r="X63" s="80"/>
      <c r="Y63" s="80"/>
      <c r="Z63" s="80"/>
      <c r="AA63" s="80"/>
      <c r="AB63" s="79"/>
      <c r="AC63" s="79"/>
      <c r="AD63" s="79"/>
      <c r="AE63" s="79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</row>
    <row r="64" spans="1:42" s="3" customFormat="1" ht="15.75" thickBot="1" x14ac:dyDescent="0.3">
      <c r="A64" s="78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80"/>
      <c r="T64" s="80"/>
      <c r="U64" s="80"/>
      <c r="V64" s="80"/>
      <c r="W64" s="80"/>
      <c r="X64" s="80"/>
      <c r="Y64" s="80"/>
      <c r="Z64" s="80"/>
      <c r="AA64" s="80"/>
      <c r="AB64" s="79"/>
      <c r="AC64" s="79"/>
      <c r="AD64" s="79"/>
      <c r="AE64" s="79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</row>
    <row r="65" spans="1:27" ht="15.75" thickBot="1" x14ac:dyDescent="0.3">
      <c r="A65" t="s">
        <v>84</v>
      </c>
      <c r="B65" s="115" t="s">
        <v>86</v>
      </c>
    </row>
    <row r="66" spans="1:27" ht="15.75" thickBot="1" x14ac:dyDescent="0.3">
      <c r="B66" s="119" t="s">
        <v>76</v>
      </c>
      <c r="C66" s="120"/>
      <c r="D66" s="120"/>
      <c r="E66" s="120"/>
      <c r="F66" s="120"/>
      <c r="G66" s="120"/>
      <c r="H66" s="120"/>
      <c r="I66" s="120"/>
      <c r="J66" s="120"/>
      <c r="K66" s="120"/>
      <c r="L66" s="120"/>
      <c r="M66" s="120"/>
      <c r="N66" s="120"/>
      <c r="O66" s="120"/>
      <c r="P66" s="120"/>
      <c r="Q66" s="120"/>
      <c r="R66" s="120"/>
      <c r="S66" s="120"/>
      <c r="T66" s="120"/>
      <c r="U66" s="120"/>
      <c r="V66" s="120"/>
      <c r="W66" s="120"/>
      <c r="X66" s="120"/>
      <c r="Y66" s="120"/>
      <c r="Z66" s="120"/>
      <c r="AA66" s="121"/>
    </row>
    <row r="67" spans="1:27" x14ac:dyDescent="0.25">
      <c r="B67" s="9" t="s">
        <v>0</v>
      </c>
      <c r="C67" s="55">
        <v>-51</v>
      </c>
      <c r="D67" s="45" t="s">
        <v>19</v>
      </c>
      <c r="E67" s="10"/>
      <c r="F67" s="10" t="s">
        <v>0</v>
      </c>
      <c r="G67" s="55">
        <v>39</v>
      </c>
      <c r="H67" s="45" t="s">
        <v>14</v>
      </c>
      <c r="I67" s="10"/>
      <c r="J67" s="10" t="s">
        <v>0</v>
      </c>
      <c r="K67" s="55">
        <v>28</v>
      </c>
      <c r="L67" s="45" t="s">
        <v>16</v>
      </c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1"/>
    </row>
    <row r="68" spans="1:27" x14ac:dyDescent="0.25">
      <c r="B68" s="12" t="s">
        <v>1</v>
      </c>
      <c r="C68" s="8">
        <f>C67*PI()/180</f>
        <v>-0.89011791851710798</v>
      </c>
      <c r="D68" s="8"/>
      <c r="E68" s="8"/>
      <c r="F68" s="8" t="s">
        <v>1</v>
      </c>
      <c r="G68" s="8">
        <f>G67*PI()/180</f>
        <v>0.68067840827778847</v>
      </c>
      <c r="H68" s="8"/>
      <c r="I68" s="8"/>
      <c r="J68" s="8" t="s">
        <v>1</v>
      </c>
      <c r="K68" s="8">
        <f>K67*PI()/180</f>
        <v>0.48869219055841229</v>
      </c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13"/>
    </row>
    <row r="69" spans="1:27" x14ac:dyDescent="0.25">
      <c r="B69" s="12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13"/>
    </row>
    <row r="70" spans="1:27" x14ac:dyDescent="0.25">
      <c r="B70" s="46" t="s">
        <v>9</v>
      </c>
      <c r="C70" s="21"/>
      <c r="D70" s="21"/>
      <c r="E70" s="21"/>
      <c r="F70" s="47" t="s">
        <v>13</v>
      </c>
      <c r="G70" s="21"/>
      <c r="H70" s="21"/>
      <c r="I70" s="8"/>
      <c r="J70" s="47" t="s">
        <v>15</v>
      </c>
      <c r="K70" s="21"/>
      <c r="L70" s="21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13"/>
    </row>
    <row r="71" spans="1:27" x14ac:dyDescent="0.25">
      <c r="B71" s="48">
        <f>COS(C68)</f>
        <v>0.6293203910498375</v>
      </c>
      <c r="C71" s="1">
        <f>SIN(C68)</f>
        <v>-0.77714596145697079</v>
      </c>
      <c r="D71" s="1">
        <v>0</v>
      </c>
      <c r="E71" s="21"/>
      <c r="F71" s="1">
        <v>1</v>
      </c>
      <c r="G71" s="1">
        <v>0</v>
      </c>
      <c r="H71" s="1">
        <v>0</v>
      </c>
      <c r="I71" s="8"/>
      <c r="J71" s="1">
        <f>COS(K68)</f>
        <v>0.88294759285892699</v>
      </c>
      <c r="K71" s="1">
        <f>SIN(K68)</f>
        <v>0.46947156278589081</v>
      </c>
      <c r="L71" s="1">
        <v>0</v>
      </c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13"/>
    </row>
    <row r="72" spans="1:27" x14ac:dyDescent="0.25">
      <c r="B72" s="48">
        <f>-SIN(C68)</f>
        <v>0.77714596145697079</v>
      </c>
      <c r="C72" s="1">
        <f>COS(C68)</f>
        <v>0.6293203910498375</v>
      </c>
      <c r="D72" s="1">
        <v>0</v>
      </c>
      <c r="E72" s="21"/>
      <c r="F72" s="1">
        <v>0</v>
      </c>
      <c r="G72" s="1">
        <f>COS(G68)</f>
        <v>0.7771459614569709</v>
      </c>
      <c r="H72" s="1">
        <f>SIN(G68)</f>
        <v>0.62932039104983739</v>
      </c>
      <c r="I72" s="8"/>
      <c r="J72" s="1">
        <f>-SIN(K68)</f>
        <v>-0.46947156278589081</v>
      </c>
      <c r="K72" s="1">
        <f>COS(K68)</f>
        <v>0.88294759285892699</v>
      </c>
      <c r="L72" s="1">
        <v>0</v>
      </c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13"/>
    </row>
    <row r="73" spans="1:27" x14ac:dyDescent="0.25">
      <c r="B73" s="48">
        <v>0</v>
      </c>
      <c r="C73" s="1">
        <v>0</v>
      </c>
      <c r="D73" s="1">
        <v>1</v>
      </c>
      <c r="E73" s="21"/>
      <c r="F73" s="1">
        <v>0</v>
      </c>
      <c r="G73" s="1">
        <f>-SIN(G68)</f>
        <v>-0.62932039104983739</v>
      </c>
      <c r="H73" s="1">
        <f>COS(G68)</f>
        <v>0.7771459614569709</v>
      </c>
      <c r="I73" s="8"/>
      <c r="J73" s="1">
        <v>0</v>
      </c>
      <c r="K73" s="1">
        <v>0</v>
      </c>
      <c r="L73" s="1">
        <v>1</v>
      </c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13"/>
    </row>
    <row r="74" spans="1:27" x14ac:dyDescent="0.25">
      <c r="B74" s="12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13"/>
    </row>
    <row r="75" spans="1:27" x14ac:dyDescent="0.25">
      <c r="B75" s="49" t="s">
        <v>17</v>
      </c>
      <c r="C75" s="8"/>
      <c r="D75" s="8"/>
      <c r="E75" s="8"/>
      <c r="F75" s="50" t="s">
        <v>18</v>
      </c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13"/>
    </row>
    <row r="76" spans="1:27" x14ac:dyDescent="0.25">
      <c r="B76" s="51">
        <f t="array" ref="B76:D78">MMULT(J71:L73,F71:H73)</f>
        <v>0.88294759285892699</v>
      </c>
      <c r="C76" s="2">
        <v>0.36484792903794777</v>
      </c>
      <c r="D76" s="2">
        <v>0.29544802747919507</v>
      </c>
      <c r="E76" s="8"/>
      <c r="F76" s="2">
        <f t="array" ref="F76:H78">MMULT(B76:D78,B71:D73)</f>
        <v>0.83919701901227328</v>
      </c>
      <c r="G76" s="2">
        <v>-0.45657291459258414</v>
      </c>
      <c r="H76" s="2">
        <v>0.29544802747919507</v>
      </c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13"/>
    </row>
    <row r="77" spans="1:27" x14ac:dyDescent="0.25">
      <c r="B77" s="51">
        <v>-0.46947156278589081</v>
      </c>
      <c r="C77" s="2">
        <v>0.6861791559684689</v>
      </c>
      <c r="D77" s="2">
        <v>0.55565692441449255</v>
      </c>
      <c r="E77" s="8"/>
      <c r="F77" s="2">
        <v>0.2378133324176534</v>
      </c>
      <c r="G77" s="2">
        <v>0.79667446380227203</v>
      </c>
      <c r="H77" s="2">
        <v>0.55565692441449255</v>
      </c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13"/>
    </row>
    <row r="78" spans="1:27" x14ac:dyDescent="0.25">
      <c r="B78" s="51">
        <v>0</v>
      </c>
      <c r="C78" s="2">
        <v>-0.62932039104983739</v>
      </c>
      <c r="D78" s="2">
        <v>0.7771459614569709</v>
      </c>
      <c r="E78" s="8"/>
      <c r="F78" s="2">
        <v>-0.48907380036690273</v>
      </c>
      <c r="G78" s="2">
        <v>-0.3960441545911203</v>
      </c>
      <c r="H78" s="2">
        <v>0.7771459614569709</v>
      </c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13"/>
    </row>
    <row r="79" spans="1:27" x14ac:dyDescent="0.25">
      <c r="B79" s="12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13"/>
    </row>
    <row r="80" spans="1:27" ht="15.75" thickBot="1" x14ac:dyDescent="0.3">
      <c r="B80" s="12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13"/>
    </row>
    <row r="81" spans="2:27" x14ac:dyDescent="0.25">
      <c r="B81" s="37" t="s">
        <v>2</v>
      </c>
      <c r="C81" s="52">
        <v>103.2</v>
      </c>
      <c r="D81" s="38" t="s">
        <v>4</v>
      </c>
      <c r="E81" s="39">
        <f>(F76*C81)+(G76*C82)+(H76*C83)</f>
        <v>51.988951515575117</v>
      </c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13"/>
    </row>
    <row r="82" spans="2:27" x14ac:dyDescent="0.25">
      <c r="B82" s="40" t="s">
        <v>3</v>
      </c>
      <c r="C82" s="53">
        <v>173.4</v>
      </c>
      <c r="D82" s="2" t="s">
        <v>5</v>
      </c>
      <c r="E82" s="41">
        <f>(F77*C81)+(G77*C82)+(H77*C83)</f>
        <v>246.47875213052129</v>
      </c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13"/>
    </row>
    <row r="83" spans="2:27" ht="15.75" thickBot="1" x14ac:dyDescent="0.3">
      <c r="B83" s="42" t="s">
        <v>8</v>
      </c>
      <c r="C83" s="54">
        <v>150.80000000000001</v>
      </c>
      <c r="D83" s="43" t="s">
        <v>10</v>
      </c>
      <c r="E83" s="44">
        <f>(F78*C81)+(G78*C82)+(H78*C83)</f>
        <v>-1.9528616162534007</v>
      </c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13"/>
    </row>
    <row r="84" spans="2:27" x14ac:dyDescent="0.25">
      <c r="B84" s="12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13"/>
    </row>
    <row r="85" spans="2:27" x14ac:dyDescent="0.25">
      <c r="B85" s="12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13"/>
    </row>
    <row r="86" spans="2:27" x14ac:dyDescent="0.25">
      <c r="B86" s="12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13"/>
    </row>
    <row r="87" spans="2:27" x14ac:dyDescent="0.25">
      <c r="B87" s="12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13"/>
    </row>
    <row r="88" spans="2:27" x14ac:dyDescent="0.25">
      <c r="B88" s="12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13"/>
    </row>
    <row r="89" spans="2:27" x14ac:dyDescent="0.25">
      <c r="B89" s="12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13"/>
    </row>
    <row r="90" spans="2:27" x14ac:dyDescent="0.25">
      <c r="B90" s="12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13"/>
    </row>
    <row r="91" spans="2:27" x14ac:dyDescent="0.25">
      <c r="B91" s="12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13"/>
    </row>
    <row r="92" spans="2:27" x14ac:dyDescent="0.25">
      <c r="B92" s="12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13"/>
    </row>
    <row r="93" spans="2:27" x14ac:dyDescent="0.25">
      <c r="B93" s="12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13"/>
    </row>
    <row r="94" spans="2:27" x14ac:dyDescent="0.25">
      <c r="B94" s="12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13"/>
    </row>
    <row r="95" spans="2:27" x14ac:dyDescent="0.25">
      <c r="B95" s="12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13"/>
    </row>
    <row r="96" spans="2:27" x14ac:dyDescent="0.25">
      <c r="B96" s="12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13"/>
    </row>
    <row r="97" spans="2:27" x14ac:dyDescent="0.25">
      <c r="B97" s="12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13"/>
    </row>
    <row r="98" spans="2:27" x14ac:dyDescent="0.25">
      <c r="B98" s="12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13"/>
    </row>
    <row r="99" spans="2:27" x14ac:dyDescent="0.25">
      <c r="B99" s="12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13"/>
    </row>
    <row r="100" spans="2:27" x14ac:dyDescent="0.25">
      <c r="B100" s="12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13"/>
    </row>
    <row r="101" spans="2:27" x14ac:dyDescent="0.25">
      <c r="B101" s="12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13"/>
    </row>
    <row r="102" spans="2:27" ht="15.75" thickBot="1" x14ac:dyDescent="0.3">
      <c r="B102" s="14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6"/>
    </row>
    <row r="105" spans="2:27" ht="15.75" thickBot="1" x14ac:dyDescent="0.3"/>
    <row r="106" spans="2:27" s="105" customFormat="1" ht="15.75" thickBot="1" x14ac:dyDescent="0.3">
      <c r="B106" s="115" t="s">
        <v>87</v>
      </c>
    </row>
    <row r="107" spans="2:27" ht="15.75" thickBot="1" x14ac:dyDescent="0.3">
      <c r="B107" s="119" t="s">
        <v>77</v>
      </c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/>
      <c r="T107" s="125"/>
      <c r="U107" s="125"/>
      <c r="V107" s="125"/>
      <c r="W107" s="125"/>
      <c r="X107" s="125"/>
      <c r="Y107" s="125"/>
      <c r="Z107" s="125"/>
      <c r="AA107" s="126"/>
    </row>
    <row r="108" spans="2:27" x14ac:dyDescent="0.25">
      <c r="B108" s="9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1"/>
    </row>
    <row r="109" spans="2:27" x14ac:dyDescent="0.25">
      <c r="B109" s="12"/>
      <c r="C109" s="106"/>
      <c r="D109" s="106"/>
      <c r="E109" s="106"/>
      <c r="F109" s="106"/>
      <c r="G109" s="106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3"/>
    </row>
    <row r="110" spans="2:27" x14ac:dyDescent="0.25">
      <c r="B110" s="12"/>
      <c r="C110" s="106"/>
      <c r="D110" s="106"/>
      <c r="E110" s="106"/>
      <c r="F110" s="106"/>
      <c r="G110" s="106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3"/>
    </row>
    <row r="111" spans="2:27" x14ac:dyDescent="0.25">
      <c r="B111" s="12"/>
      <c r="C111" s="106"/>
      <c r="D111" s="106"/>
      <c r="E111" s="106"/>
      <c r="F111" s="106"/>
      <c r="G111" s="106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3"/>
    </row>
    <row r="112" spans="2:27" x14ac:dyDescent="0.25">
      <c r="B112" s="12"/>
      <c r="C112" s="106"/>
      <c r="D112" s="106"/>
      <c r="E112" s="106"/>
      <c r="F112" s="106"/>
      <c r="G112" s="106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3"/>
    </row>
    <row r="113" spans="2:27" x14ac:dyDescent="0.25">
      <c r="B113" s="12"/>
      <c r="C113" s="106"/>
      <c r="D113" s="106"/>
      <c r="E113" s="106"/>
      <c r="F113" s="106"/>
      <c r="G113" s="106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3"/>
    </row>
    <row r="114" spans="2:27" x14ac:dyDescent="0.25">
      <c r="B114" s="12"/>
      <c r="C114" s="106"/>
      <c r="D114" s="106"/>
      <c r="E114" s="106"/>
      <c r="F114" s="106"/>
      <c r="G114" s="106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3"/>
    </row>
    <row r="115" spans="2:27" x14ac:dyDescent="0.25">
      <c r="B115" s="12"/>
      <c r="C115" s="106"/>
      <c r="D115" s="106"/>
      <c r="E115" s="106"/>
      <c r="F115" s="106"/>
      <c r="G115" s="106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3"/>
    </row>
    <row r="116" spans="2:27" x14ac:dyDescent="0.25">
      <c r="B116" s="12"/>
      <c r="C116" s="106"/>
      <c r="D116" s="106"/>
      <c r="E116" s="106"/>
      <c r="F116" s="106"/>
      <c r="G116" s="106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3"/>
    </row>
    <row r="117" spans="2:27" x14ac:dyDescent="0.25">
      <c r="B117" s="12"/>
      <c r="C117" s="25" t="s">
        <v>2</v>
      </c>
      <c r="D117" s="25" t="s">
        <v>3</v>
      </c>
      <c r="E117" s="25" t="s">
        <v>8</v>
      </c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3"/>
    </row>
    <row r="118" spans="2:27" ht="15.75" thickBot="1" x14ac:dyDescent="0.3">
      <c r="B118" s="12" t="s">
        <v>20</v>
      </c>
      <c r="C118" s="111">
        <v>0.35673811244449494</v>
      </c>
      <c r="D118" s="111">
        <v>-0.87102821915013151</v>
      </c>
      <c r="E118" s="111">
        <v>0.33770958022195546</v>
      </c>
      <c r="F118" s="106"/>
      <c r="G118" s="106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3"/>
    </row>
    <row r="119" spans="2:27" ht="15.75" thickBot="1" x14ac:dyDescent="0.3">
      <c r="B119" s="12" t="s">
        <v>21</v>
      </c>
      <c r="C119" s="111">
        <v>-0.59658898040030994</v>
      </c>
      <c r="D119" s="111">
        <v>-0.49059107281111525</v>
      </c>
      <c r="E119" s="5">
        <v>-0.63513934513849613</v>
      </c>
      <c r="F119" s="106"/>
      <c r="G119" s="106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3"/>
    </row>
    <row r="120" spans="2:27" ht="15.75" thickBot="1" x14ac:dyDescent="0.3">
      <c r="B120" s="12" t="s">
        <v>22</v>
      </c>
      <c r="C120" s="111">
        <v>0.71890159796924646</v>
      </c>
      <c r="D120" s="7">
        <v>2.5104596931725325E-2</v>
      </c>
      <c r="E120" s="6">
        <v>-0.69465837046001211</v>
      </c>
      <c r="F120" s="106"/>
      <c r="G120" s="106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3"/>
    </row>
    <row r="121" spans="2:27" x14ac:dyDescent="0.25">
      <c r="B121" s="12"/>
      <c r="C121" s="106"/>
      <c r="D121" s="106"/>
      <c r="E121" s="106"/>
      <c r="F121" s="106"/>
      <c r="G121" s="106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3"/>
    </row>
    <row r="122" spans="2:27" x14ac:dyDescent="0.25">
      <c r="B122" s="12"/>
      <c r="C122" s="106"/>
      <c r="D122" s="112" t="s">
        <v>24</v>
      </c>
      <c r="E122" s="112" t="s">
        <v>25</v>
      </c>
      <c r="F122" s="106"/>
      <c r="G122" s="106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3"/>
    </row>
    <row r="123" spans="2:27" x14ac:dyDescent="0.25">
      <c r="B123" s="12"/>
      <c r="C123" s="106" t="s">
        <v>19</v>
      </c>
      <c r="D123" s="106">
        <f>ACOS(D120/SQRT(1-POWER(E120,2)))</f>
        <v>1.535889741835879</v>
      </c>
      <c r="E123" s="113">
        <f>180-DEGREES(D123)</f>
        <v>91.999999995366551</v>
      </c>
      <c r="F123" s="106"/>
      <c r="G123" s="106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6"/>
      <c r="AA123" s="13"/>
    </row>
    <row r="124" spans="2:27" x14ac:dyDescent="0.25">
      <c r="B124" s="12"/>
      <c r="C124" s="106" t="s">
        <v>14</v>
      </c>
      <c r="D124" s="106">
        <f>ACOS(E120)</f>
        <v>2.3387411976738122</v>
      </c>
      <c r="E124" s="113">
        <f>DEGREES(D124)</f>
        <v>134.00000000008083</v>
      </c>
      <c r="F124" s="106"/>
      <c r="G124" s="106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6"/>
      <c r="AA124" s="13"/>
    </row>
    <row r="125" spans="2:27" x14ac:dyDescent="0.25">
      <c r="B125" s="12"/>
      <c r="C125" s="106" t="s">
        <v>23</v>
      </c>
      <c r="D125" s="106">
        <f>ACOS(E119/SQRT(1-POWER(E120,2)))</f>
        <v>2.6529004629802371</v>
      </c>
      <c r="E125" s="113">
        <f>DEGREES(D125)</f>
        <v>151.99999999706966</v>
      </c>
      <c r="F125" s="106"/>
      <c r="G125" s="106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6"/>
      <c r="T125" s="106"/>
      <c r="U125" s="106"/>
      <c r="V125" s="106"/>
      <c r="W125" s="106"/>
      <c r="X125" s="106"/>
      <c r="Y125" s="106"/>
      <c r="Z125" s="106"/>
      <c r="AA125" s="13"/>
    </row>
    <row r="126" spans="2:27" x14ac:dyDescent="0.25">
      <c r="B126" s="12"/>
      <c r="C126" s="106"/>
      <c r="D126" s="106"/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3"/>
    </row>
    <row r="127" spans="2:27" x14ac:dyDescent="0.25">
      <c r="B127" s="12"/>
      <c r="C127" s="106"/>
      <c r="D127" s="106"/>
      <c r="E127" s="106"/>
      <c r="F127" s="106"/>
      <c r="G127" s="106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3"/>
    </row>
    <row r="128" spans="2:27" x14ac:dyDescent="0.25">
      <c r="B128" s="12"/>
      <c r="C128" s="106"/>
      <c r="D128" s="106"/>
      <c r="E128" s="106"/>
      <c r="F128" s="106"/>
      <c r="G128" s="106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6"/>
      <c r="T128" s="106"/>
      <c r="U128" s="106"/>
      <c r="V128" s="106"/>
      <c r="W128" s="106"/>
      <c r="X128" s="106"/>
      <c r="Y128" s="106"/>
      <c r="Z128" s="106"/>
      <c r="AA128" s="13"/>
    </row>
    <row r="129" spans="2:27" x14ac:dyDescent="0.25">
      <c r="B129" s="12"/>
      <c r="C129" s="106"/>
      <c r="D129" s="106"/>
      <c r="E129" s="106"/>
      <c r="F129" s="106"/>
      <c r="G129" s="106"/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6"/>
      <c r="T129" s="106"/>
      <c r="U129" s="106"/>
      <c r="V129" s="106"/>
      <c r="W129" s="106"/>
      <c r="X129" s="106"/>
      <c r="Y129" s="106"/>
      <c r="Z129" s="106"/>
      <c r="AA129" s="13"/>
    </row>
    <row r="130" spans="2:27" x14ac:dyDescent="0.25">
      <c r="B130" s="12"/>
      <c r="C130" s="106"/>
      <c r="D130" s="106"/>
      <c r="E130" s="106"/>
      <c r="F130" s="106"/>
      <c r="G130" s="106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6"/>
      <c r="T130" s="106"/>
      <c r="U130" s="106"/>
      <c r="V130" s="106"/>
      <c r="W130" s="106"/>
      <c r="X130" s="106"/>
      <c r="Y130" s="106"/>
      <c r="Z130" s="106"/>
      <c r="AA130" s="13"/>
    </row>
    <row r="131" spans="2:27" x14ac:dyDescent="0.25">
      <c r="B131" s="12"/>
      <c r="C131" s="106"/>
      <c r="D131" s="106"/>
      <c r="E131" s="106"/>
      <c r="F131" s="106"/>
      <c r="G131" s="106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6"/>
      <c r="T131" s="106"/>
      <c r="U131" s="106"/>
      <c r="V131" s="106"/>
      <c r="W131" s="106"/>
      <c r="X131" s="106"/>
      <c r="Y131" s="106"/>
      <c r="Z131" s="106"/>
      <c r="AA131" s="13"/>
    </row>
    <row r="132" spans="2:27" x14ac:dyDescent="0.25">
      <c r="B132" s="12"/>
      <c r="C132" s="106"/>
      <c r="D132" s="106"/>
      <c r="E132" s="106"/>
      <c r="F132" s="106"/>
      <c r="G132" s="106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6"/>
      <c r="T132" s="106"/>
      <c r="U132" s="106"/>
      <c r="V132" s="106"/>
      <c r="W132" s="106"/>
      <c r="X132" s="106"/>
      <c r="Y132" s="106"/>
      <c r="Z132" s="106"/>
      <c r="AA132" s="13"/>
    </row>
    <row r="133" spans="2:27" x14ac:dyDescent="0.25">
      <c r="B133" s="12"/>
      <c r="C133" s="106"/>
      <c r="D133" s="106"/>
      <c r="E133" s="106"/>
      <c r="F133" s="106"/>
      <c r="G133" s="106"/>
      <c r="H133" s="106"/>
      <c r="I133" s="106"/>
      <c r="J133" s="106"/>
      <c r="K133" s="106"/>
      <c r="L133" s="106"/>
      <c r="M133" s="106"/>
      <c r="N133" s="106"/>
      <c r="O133" s="106"/>
      <c r="P133" s="106"/>
      <c r="Q133" s="106"/>
      <c r="R133" s="106"/>
      <c r="S133" s="106"/>
      <c r="T133" s="106"/>
      <c r="U133" s="106"/>
      <c r="V133" s="106"/>
      <c r="W133" s="106"/>
      <c r="X133" s="106"/>
      <c r="Y133" s="106"/>
      <c r="Z133" s="106"/>
      <c r="AA133" s="13"/>
    </row>
    <row r="134" spans="2:27" x14ac:dyDescent="0.25">
      <c r="B134" s="12"/>
      <c r="C134" s="106"/>
      <c r="D134" s="106"/>
      <c r="E134" s="106"/>
      <c r="F134" s="106"/>
      <c r="G134" s="106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6"/>
      <c r="T134" s="106"/>
      <c r="U134" s="106"/>
      <c r="V134" s="106"/>
      <c r="W134" s="106"/>
      <c r="X134" s="106"/>
      <c r="Y134" s="106"/>
      <c r="Z134" s="106"/>
      <c r="AA134" s="13"/>
    </row>
    <row r="135" spans="2:27" x14ac:dyDescent="0.25">
      <c r="B135" s="12"/>
      <c r="C135" s="106"/>
      <c r="D135" s="106"/>
      <c r="E135" s="106"/>
      <c r="F135" s="106"/>
      <c r="G135" s="106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6"/>
      <c r="T135" s="106"/>
      <c r="U135" s="106"/>
      <c r="V135" s="106"/>
      <c r="W135" s="106"/>
      <c r="X135" s="106"/>
      <c r="Y135" s="106"/>
      <c r="Z135" s="106"/>
      <c r="AA135" s="13"/>
    </row>
    <row r="136" spans="2:27" x14ac:dyDescent="0.25">
      <c r="B136" s="12"/>
      <c r="C136" s="106"/>
      <c r="D136" s="106"/>
      <c r="E136" s="106"/>
      <c r="F136" s="106"/>
      <c r="G136" s="106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6"/>
      <c r="T136" s="106"/>
      <c r="U136" s="106"/>
      <c r="V136" s="106"/>
      <c r="W136" s="106"/>
      <c r="X136" s="106"/>
      <c r="Y136" s="106"/>
      <c r="Z136" s="106"/>
      <c r="AA136" s="13"/>
    </row>
    <row r="137" spans="2:27" x14ac:dyDescent="0.25">
      <c r="B137" s="12"/>
      <c r="C137" s="106"/>
      <c r="D137" s="106"/>
      <c r="E137" s="106"/>
      <c r="F137" s="106"/>
      <c r="G137" s="106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6"/>
      <c r="T137" s="106"/>
      <c r="U137" s="106"/>
      <c r="V137" s="106"/>
      <c r="W137" s="106"/>
      <c r="X137" s="106"/>
      <c r="Y137" s="106"/>
      <c r="Z137" s="106"/>
      <c r="AA137" s="13"/>
    </row>
    <row r="138" spans="2:27" x14ac:dyDescent="0.25">
      <c r="B138" s="12"/>
      <c r="C138" s="106"/>
      <c r="D138" s="106"/>
      <c r="E138" s="106"/>
      <c r="F138" s="106"/>
      <c r="G138" s="106"/>
      <c r="H138" s="106"/>
      <c r="I138" s="106"/>
      <c r="J138" s="106"/>
      <c r="K138" s="106"/>
      <c r="L138" s="106"/>
      <c r="M138" s="106"/>
      <c r="N138" s="106"/>
      <c r="O138" s="106"/>
      <c r="P138" s="106"/>
      <c r="Q138" s="106"/>
      <c r="R138" s="106"/>
      <c r="S138" s="106"/>
      <c r="T138" s="106"/>
      <c r="U138" s="106"/>
      <c r="V138" s="106"/>
      <c r="W138" s="106"/>
      <c r="X138" s="106"/>
      <c r="Y138" s="106"/>
      <c r="Z138" s="106"/>
      <c r="AA138" s="13"/>
    </row>
    <row r="139" spans="2:27" x14ac:dyDescent="0.25">
      <c r="B139" s="12"/>
      <c r="C139" s="106"/>
      <c r="D139" s="106"/>
      <c r="E139" s="106"/>
      <c r="F139" s="106"/>
      <c r="G139" s="106"/>
      <c r="H139" s="106"/>
      <c r="I139" s="106"/>
      <c r="J139" s="106"/>
      <c r="K139" s="106"/>
      <c r="L139" s="106"/>
      <c r="M139" s="106"/>
      <c r="N139" s="106"/>
      <c r="O139" s="106"/>
      <c r="P139" s="106"/>
      <c r="Q139" s="106"/>
      <c r="R139" s="106"/>
      <c r="S139" s="106"/>
      <c r="T139" s="106"/>
      <c r="U139" s="106"/>
      <c r="V139" s="106"/>
      <c r="W139" s="106"/>
      <c r="X139" s="106"/>
      <c r="Y139" s="106"/>
      <c r="Z139" s="106"/>
      <c r="AA139" s="13"/>
    </row>
    <row r="140" spans="2:27" x14ac:dyDescent="0.25">
      <c r="B140" s="12"/>
      <c r="C140" s="106"/>
      <c r="D140" s="106"/>
      <c r="E140" s="106"/>
      <c r="F140" s="106"/>
      <c r="G140" s="106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6"/>
      <c r="T140" s="106"/>
      <c r="U140" s="106"/>
      <c r="V140" s="106"/>
      <c r="W140" s="106"/>
      <c r="X140" s="106"/>
      <c r="Y140" s="106"/>
      <c r="Z140" s="106"/>
      <c r="AA140" s="13"/>
    </row>
    <row r="141" spans="2:27" x14ac:dyDescent="0.25">
      <c r="B141" s="12"/>
      <c r="C141" s="106"/>
      <c r="D141" s="106"/>
      <c r="E141" s="106"/>
      <c r="F141" s="106"/>
      <c r="G141" s="106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6"/>
      <c r="T141" s="106"/>
      <c r="U141" s="106"/>
      <c r="V141" s="106"/>
      <c r="W141" s="106"/>
      <c r="X141" s="106"/>
      <c r="Y141" s="106"/>
      <c r="Z141" s="106"/>
      <c r="AA141" s="13"/>
    </row>
    <row r="142" spans="2:27" x14ac:dyDescent="0.25">
      <c r="B142" s="12"/>
      <c r="C142" s="106"/>
      <c r="D142" s="106"/>
      <c r="E142" s="106"/>
      <c r="F142" s="106"/>
      <c r="G142" s="106"/>
      <c r="H142" s="106"/>
      <c r="I142" s="106"/>
      <c r="J142" s="106"/>
      <c r="K142" s="106"/>
      <c r="L142" s="106"/>
      <c r="M142" s="106"/>
      <c r="N142" s="106"/>
      <c r="O142" s="106"/>
      <c r="P142" s="106"/>
      <c r="Q142" s="106"/>
      <c r="R142" s="106"/>
      <c r="S142" s="106"/>
      <c r="T142" s="106"/>
      <c r="U142" s="106"/>
      <c r="V142" s="106"/>
      <c r="W142" s="106"/>
      <c r="X142" s="106"/>
      <c r="Y142" s="106"/>
      <c r="Z142" s="106"/>
      <c r="AA142" s="13"/>
    </row>
    <row r="143" spans="2:27" x14ac:dyDescent="0.25">
      <c r="B143" s="12"/>
      <c r="C143" s="106"/>
      <c r="D143" s="106"/>
      <c r="E143" s="106"/>
      <c r="F143" s="106"/>
      <c r="G143" s="106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6"/>
      <c r="T143" s="106"/>
      <c r="U143" s="106"/>
      <c r="V143" s="106"/>
      <c r="W143" s="106"/>
      <c r="X143" s="106"/>
      <c r="Y143" s="106"/>
      <c r="Z143" s="106"/>
      <c r="AA143" s="13"/>
    </row>
    <row r="144" spans="2:27" ht="15.75" thickBot="1" x14ac:dyDescent="0.3">
      <c r="B144" s="14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6"/>
    </row>
  </sheetData>
  <mergeCells count="25">
    <mergeCell ref="B107:AA107"/>
    <mergeCell ref="AA38:AA40"/>
    <mergeCell ref="J30:AP30"/>
    <mergeCell ref="G11:I11"/>
    <mergeCell ref="G21:I21"/>
    <mergeCell ref="K21:M21"/>
    <mergeCell ref="B11:E11"/>
    <mergeCell ref="K11:M11"/>
    <mergeCell ref="O21:Q21"/>
    <mergeCell ref="G19:M19"/>
    <mergeCell ref="S38:S40"/>
    <mergeCell ref="B35:C35"/>
    <mergeCell ref="E39:I39"/>
    <mergeCell ref="B30:I30"/>
    <mergeCell ref="J38:J40"/>
    <mergeCell ref="B1:N1"/>
    <mergeCell ref="B2:N2"/>
    <mergeCell ref="B3:N3"/>
    <mergeCell ref="B4:N4"/>
    <mergeCell ref="B66:AA66"/>
    <mergeCell ref="B36:C36"/>
    <mergeCell ref="B5:N5"/>
    <mergeCell ref="B6:N6"/>
    <mergeCell ref="G9:M9"/>
    <mergeCell ref="B9:E9"/>
  </mergeCells>
  <hyperlinks>
    <hyperlink ref="B6" r:id="rId1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Q50"/>
  <sheetViews>
    <sheetView zoomScale="85" zoomScaleNormal="85" workbookViewId="0">
      <pane ySplit="1" topLeftCell="A2" activePane="bottomLeft" state="frozenSplit"/>
      <selection pane="bottomLeft" activeCell="M32" sqref="M32"/>
    </sheetView>
  </sheetViews>
  <sheetFormatPr defaultRowHeight="12.75" x14ac:dyDescent="0.2"/>
  <cols>
    <col min="1" max="1" width="9.140625" style="81"/>
    <col min="2" max="10" width="10.7109375" style="82" customWidth="1"/>
    <col min="11" max="11" width="9.140625" style="81"/>
    <col min="12" max="15" width="10.7109375" style="81" customWidth="1"/>
    <col min="16" max="16384" width="9.140625" style="81"/>
  </cols>
  <sheetData>
    <row r="3" spans="2:17" ht="12" customHeight="1" x14ac:dyDescent="0.2">
      <c r="B3" s="102"/>
      <c r="C3" s="102"/>
      <c r="D3" s="102"/>
      <c r="E3" s="102"/>
      <c r="F3" s="102"/>
      <c r="G3" s="102"/>
      <c r="H3" s="102"/>
      <c r="I3" s="102"/>
      <c r="J3" s="102"/>
    </row>
    <row r="4" spans="2:17" ht="21" customHeight="1" x14ac:dyDescent="0.2">
      <c r="B4" s="141" t="s">
        <v>57</v>
      </c>
      <c r="C4" s="142"/>
      <c r="D4" s="142"/>
      <c r="E4" s="143"/>
      <c r="F4" s="101"/>
      <c r="G4" s="141" t="s">
        <v>57</v>
      </c>
      <c r="H4" s="142"/>
      <c r="I4" s="142"/>
      <c r="J4" s="143"/>
      <c r="N4" s="141" t="s">
        <v>46</v>
      </c>
      <c r="O4" s="142"/>
      <c r="P4" s="142"/>
      <c r="Q4" s="143"/>
    </row>
    <row r="5" spans="2:17" x14ac:dyDescent="0.2">
      <c r="B5" s="87" t="s">
        <v>45</v>
      </c>
      <c r="C5" s="87" t="s">
        <v>44</v>
      </c>
      <c r="D5" s="87" t="s">
        <v>43</v>
      </c>
      <c r="E5" s="87" t="s">
        <v>42</v>
      </c>
      <c r="F5" s="100"/>
      <c r="G5" s="87" t="s">
        <v>45</v>
      </c>
      <c r="H5" s="87" t="s">
        <v>44</v>
      </c>
      <c r="I5" s="87" t="s">
        <v>43</v>
      </c>
      <c r="J5" s="87" t="s">
        <v>42</v>
      </c>
      <c r="N5" s="87" t="s">
        <v>45</v>
      </c>
      <c r="O5" s="87" t="s">
        <v>44</v>
      </c>
      <c r="P5" s="87" t="s">
        <v>43</v>
      </c>
      <c r="Q5" s="87" t="s">
        <v>42</v>
      </c>
    </row>
    <row r="6" spans="2:17" ht="30.75" customHeight="1" x14ac:dyDescent="0.2">
      <c r="B6" s="98"/>
      <c r="C6" s="98"/>
      <c r="D6" s="98"/>
      <c r="E6" s="98"/>
      <c r="F6" s="99"/>
      <c r="G6" s="98"/>
      <c r="H6" s="98"/>
      <c r="I6" s="98"/>
      <c r="J6" s="98"/>
      <c r="N6" s="98"/>
      <c r="O6" s="98"/>
      <c r="P6" s="98"/>
      <c r="Q6" s="98"/>
    </row>
    <row r="7" spans="2:17" x14ac:dyDescent="0.2">
      <c r="B7" s="87" t="s">
        <v>41</v>
      </c>
      <c r="C7" s="86">
        <v>1679.99</v>
      </c>
      <c r="D7" s="86">
        <v>-252.47</v>
      </c>
      <c r="E7" s="86">
        <v>1545.41</v>
      </c>
      <c r="F7" s="95"/>
      <c r="G7" s="87" t="s">
        <v>41</v>
      </c>
      <c r="H7" s="86">
        <v>1679.99</v>
      </c>
      <c r="I7" s="86">
        <v>-252.47</v>
      </c>
      <c r="J7" s="86">
        <v>1545.41</v>
      </c>
      <c r="K7" s="96"/>
      <c r="N7" s="87" t="s">
        <v>41</v>
      </c>
      <c r="O7" s="86">
        <v>1679.99</v>
      </c>
      <c r="P7" s="86">
        <v>-252.47</v>
      </c>
      <c r="Q7" s="86">
        <v>1545.41</v>
      </c>
    </row>
    <row r="8" spans="2:17" x14ac:dyDescent="0.2">
      <c r="B8" s="87" t="s">
        <v>40</v>
      </c>
      <c r="C8" s="86">
        <v>1682.32</v>
      </c>
      <c r="D8" s="86">
        <v>-252.7</v>
      </c>
      <c r="E8" s="86">
        <v>1542.79</v>
      </c>
      <c r="F8" s="95"/>
      <c r="G8" s="87" t="s">
        <v>40</v>
      </c>
      <c r="H8" s="86">
        <v>1682.32</v>
      </c>
      <c r="I8" s="86">
        <v>-252.7</v>
      </c>
      <c r="J8" s="86">
        <v>1542.79</v>
      </c>
      <c r="K8" s="96"/>
      <c r="N8" s="87" t="s">
        <v>40</v>
      </c>
      <c r="O8" s="86">
        <v>1682.32</v>
      </c>
      <c r="P8" s="86">
        <v>-252.7</v>
      </c>
      <c r="Q8" s="86">
        <v>1542.79</v>
      </c>
    </row>
    <row r="9" spans="2:17" x14ac:dyDescent="0.2">
      <c r="B9" s="87" t="s">
        <v>39</v>
      </c>
      <c r="C9" s="86">
        <v>1706.96</v>
      </c>
      <c r="D9" s="86">
        <v>-247.1</v>
      </c>
      <c r="E9" s="86">
        <v>1511.91</v>
      </c>
      <c r="F9" s="95"/>
      <c r="G9" s="94" t="s">
        <v>39</v>
      </c>
      <c r="H9" s="93">
        <v>1710.96</v>
      </c>
      <c r="I9" s="92">
        <v>-247.1</v>
      </c>
      <c r="J9" s="92">
        <v>1511.91</v>
      </c>
      <c r="K9" s="96"/>
      <c r="N9" s="87" t="s">
        <v>39</v>
      </c>
      <c r="O9" s="86">
        <v>1706.96</v>
      </c>
      <c r="P9" s="86">
        <v>-247.1</v>
      </c>
      <c r="Q9" s="86">
        <v>1511.91</v>
      </c>
    </row>
    <row r="10" spans="2:17" x14ac:dyDescent="0.2">
      <c r="B10" s="87" t="s">
        <v>38</v>
      </c>
      <c r="C10" s="86">
        <v>1704.06</v>
      </c>
      <c r="D10" s="86">
        <v>-246.05</v>
      </c>
      <c r="E10" s="86">
        <v>1517.06</v>
      </c>
      <c r="F10" s="95"/>
      <c r="G10" s="87" t="s">
        <v>38</v>
      </c>
      <c r="H10" s="86">
        <v>1704.06</v>
      </c>
      <c r="I10" s="86">
        <v>-246.05</v>
      </c>
      <c r="J10" s="86">
        <v>1517.06</v>
      </c>
      <c r="K10" s="96"/>
      <c r="N10" s="87" t="s">
        <v>38</v>
      </c>
      <c r="O10" s="86">
        <v>1704.06</v>
      </c>
      <c r="P10" s="86">
        <v>-246.05</v>
      </c>
      <c r="Q10" s="86">
        <v>1517.06</v>
      </c>
    </row>
    <row r="11" spans="2:17" x14ac:dyDescent="0.2">
      <c r="B11" s="87" t="s">
        <v>36</v>
      </c>
      <c r="C11" s="86">
        <v>1757.69</v>
      </c>
      <c r="D11" s="86">
        <v>-265.52999999999997</v>
      </c>
      <c r="E11" s="86">
        <v>1421.85</v>
      </c>
      <c r="F11" s="95"/>
      <c r="G11" s="94" t="s">
        <v>37</v>
      </c>
      <c r="H11" s="93">
        <v>1725.06</v>
      </c>
      <c r="I11" s="93">
        <v>-248.05</v>
      </c>
      <c r="J11" s="92">
        <v>1520.06</v>
      </c>
      <c r="K11" s="96"/>
      <c r="N11" s="87" t="s">
        <v>36</v>
      </c>
      <c r="O11" s="86">
        <v>1757.69</v>
      </c>
      <c r="P11" s="86">
        <v>-265.52999999999997</v>
      </c>
      <c r="Q11" s="86">
        <v>1421.85</v>
      </c>
    </row>
    <row r="12" spans="2:17" x14ac:dyDescent="0.2">
      <c r="B12" s="87" t="s">
        <v>35</v>
      </c>
      <c r="C12" s="86">
        <v>1798.99</v>
      </c>
      <c r="D12" s="86">
        <v>-267.77</v>
      </c>
      <c r="E12" s="86">
        <v>1362.25</v>
      </c>
      <c r="F12" s="95"/>
      <c r="G12" s="87" t="s">
        <v>36</v>
      </c>
      <c r="H12" s="86">
        <v>1757.69</v>
      </c>
      <c r="I12" s="86">
        <v>-265.52999999999997</v>
      </c>
      <c r="J12" s="86">
        <v>1421.85</v>
      </c>
      <c r="K12" s="96"/>
      <c r="N12" s="87" t="s">
        <v>35</v>
      </c>
      <c r="O12" s="86">
        <v>1798.99</v>
      </c>
      <c r="P12" s="86">
        <v>-267.77</v>
      </c>
      <c r="Q12" s="86">
        <v>1362.25</v>
      </c>
    </row>
    <row r="13" spans="2:17" x14ac:dyDescent="0.2">
      <c r="B13" s="87" t="s">
        <v>34</v>
      </c>
      <c r="C13" s="86">
        <v>1736.6</v>
      </c>
      <c r="D13" s="86">
        <v>-215.84</v>
      </c>
      <c r="E13" s="86">
        <v>1325.71</v>
      </c>
      <c r="F13" s="95"/>
      <c r="G13" s="91" t="s">
        <v>35</v>
      </c>
      <c r="H13" s="90">
        <v>1798.99</v>
      </c>
      <c r="I13" s="90">
        <v>-267.77</v>
      </c>
      <c r="J13" s="90">
        <v>1362.25</v>
      </c>
      <c r="K13" s="96"/>
      <c r="N13" s="87" t="s">
        <v>34</v>
      </c>
      <c r="O13" s="86">
        <v>1736.6</v>
      </c>
      <c r="P13" s="86">
        <v>-215.84</v>
      </c>
      <c r="Q13" s="86">
        <v>1325.71</v>
      </c>
    </row>
    <row r="14" spans="2:17" x14ac:dyDescent="0.2">
      <c r="B14" s="87" t="s">
        <v>33</v>
      </c>
      <c r="C14" s="86">
        <v>1792.33</v>
      </c>
      <c r="D14" s="86">
        <v>-266.57</v>
      </c>
      <c r="E14" s="86">
        <v>1366.53</v>
      </c>
      <c r="F14" s="95"/>
      <c r="G14" s="87" t="s">
        <v>34</v>
      </c>
      <c r="H14" s="86">
        <v>1736.6</v>
      </c>
      <c r="I14" s="86">
        <v>-215.84</v>
      </c>
      <c r="J14" s="86">
        <v>1325.71</v>
      </c>
      <c r="K14" s="96"/>
      <c r="N14" s="87" t="s">
        <v>33</v>
      </c>
      <c r="O14" s="86">
        <v>1792.33</v>
      </c>
      <c r="P14" s="86">
        <v>-266.57</v>
      </c>
      <c r="Q14" s="86">
        <v>1366.53</v>
      </c>
    </row>
    <row r="15" spans="2:17" x14ac:dyDescent="0.2">
      <c r="B15" s="87" t="s">
        <v>32</v>
      </c>
      <c r="C15" s="86">
        <v>1921.58</v>
      </c>
      <c r="D15" s="86">
        <v>-289.89</v>
      </c>
      <c r="E15" s="86">
        <v>1283.46</v>
      </c>
      <c r="F15" s="95"/>
      <c r="G15" s="88" t="s">
        <v>33</v>
      </c>
      <c r="H15" s="97">
        <v>1792.33</v>
      </c>
      <c r="I15" s="97">
        <v>-266.57</v>
      </c>
      <c r="J15" s="97">
        <v>1366.53</v>
      </c>
      <c r="K15" s="96"/>
      <c r="N15" s="87" t="s">
        <v>32</v>
      </c>
      <c r="O15" s="86">
        <v>1921.58</v>
      </c>
      <c r="P15" s="86">
        <v>-289.89</v>
      </c>
      <c r="Q15" s="86">
        <v>1283.46</v>
      </c>
    </row>
    <row r="16" spans="2:17" x14ac:dyDescent="0.2">
      <c r="B16" s="87" t="s">
        <v>31</v>
      </c>
      <c r="C16" s="86">
        <v>1913.29</v>
      </c>
      <c r="D16" s="86">
        <v>-288.24</v>
      </c>
      <c r="E16" s="86">
        <v>1288.81</v>
      </c>
      <c r="F16" s="95"/>
      <c r="G16" s="88" t="s">
        <v>32</v>
      </c>
      <c r="H16" s="97">
        <v>1921.58</v>
      </c>
      <c r="I16" s="97">
        <v>-289.89</v>
      </c>
      <c r="J16" s="97">
        <v>1283.46</v>
      </c>
      <c r="K16" s="96"/>
      <c r="N16" s="87" t="s">
        <v>31</v>
      </c>
      <c r="O16" s="86">
        <v>1913.29</v>
      </c>
      <c r="P16" s="86">
        <v>-288.24</v>
      </c>
      <c r="Q16" s="86">
        <v>1288.81</v>
      </c>
    </row>
    <row r="17" spans="2:17" x14ac:dyDescent="0.2">
      <c r="B17" s="87" t="s">
        <v>29</v>
      </c>
      <c r="C17" s="86">
        <v>1978.06</v>
      </c>
      <c r="D17" s="86">
        <v>-302.64999999999998</v>
      </c>
      <c r="E17" s="86">
        <v>1272.1600000000001</v>
      </c>
      <c r="F17" s="95"/>
      <c r="G17" s="87" t="s">
        <v>31</v>
      </c>
      <c r="H17" s="86">
        <v>1913.29</v>
      </c>
      <c r="I17" s="86">
        <v>-288.24</v>
      </c>
      <c r="J17" s="86">
        <v>1288.81</v>
      </c>
      <c r="K17" s="96"/>
      <c r="N17" s="87" t="s">
        <v>29</v>
      </c>
      <c r="O17" s="86">
        <v>1978.06</v>
      </c>
      <c r="P17" s="86">
        <v>-302.64999999999998</v>
      </c>
      <c r="Q17" s="86">
        <v>1272.1600000000001</v>
      </c>
    </row>
    <row r="18" spans="2:17" x14ac:dyDescent="0.2">
      <c r="B18" s="87" t="s">
        <v>55</v>
      </c>
      <c r="C18" s="86">
        <v>1968.13</v>
      </c>
      <c r="D18" s="86">
        <v>-302.89</v>
      </c>
      <c r="E18" s="86">
        <v>1273.3900000000001</v>
      </c>
      <c r="F18" s="95"/>
      <c r="G18" s="83" t="s">
        <v>56</v>
      </c>
      <c r="H18" s="89">
        <v>1978.06</v>
      </c>
      <c r="I18" s="89">
        <v>-302.64999999999998</v>
      </c>
      <c r="J18" s="89">
        <v>1272.1600000000001</v>
      </c>
      <c r="K18" s="96"/>
      <c r="N18" s="87" t="s">
        <v>55</v>
      </c>
      <c r="O18" s="86">
        <v>1968.13</v>
      </c>
      <c r="P18" s="86">
        <v>-302.89</v>
      </c>
      <c r="Q18" s="86">
        <v>1273.3900000000001</v>
      </c>
    </row>
    <row r="19" spans="2:17" x14ac:dyDescent="0.2">
      <c r="B19" s="87" t="s">
        <v>54</v>
      </c>
      <c r="C19" s="86">
        <v>2144.79</v>
      </c>
      <c r="D19" s="86">
        <v>-298.69</v>
      </c>
      <c r="E19" s="86">
        <v>1251.54</v>
      </c>
      <c r="F19" s="95"/>
      <c r="G19" s="85" t="s">
        <v>22</v>
      </c>
      <c r="H19" s="84">
        <v>3019</v>
      </c>
      <c r="I19" s="84">
        <v>-366.18</v>
      </c>
      <c r="J19" s="84">
        <v>2267.98</v>
      </c>
      <c r="K19" s="96"/>
      <c r="N19" s="87" t="s">
        <v>54</v>
      </c>
      <c r="O19" s="86">
        <v>2144.79</v>
      </c>
      <c r="P19" s="86">
        <v>-298.69</v>
      </c>
      <c r="Q19" s="86">
        <v>1251.54</v>
      </c>
    </row>
    <row r="20" spans="2:17" x14ac:dyDescent="0.2">
      <c r="B20" s="87" t="s">
        <v>53</v>
      </c>
      <c r="C20" s="86">
        <v>2195.65</v>
      </c>
      <c r="D20" s="86">
        <v>-290.04000000000002</v>
      </c>
      <c r="E20" s="86">
        <v>1250.4100000000001</v>
      </c>
      <c r="F20" s="95"/>
      <c r="G20" s="85" t="s">
        <v>30</v>
      </c>
      <c r="H20" s="84">
        <v>3053.2</v>
      </c>
      <c r="I20" s="84">
        <v>-371.78</v>
      </c>
      <c r="J20" s="84">
        <v>2282.6</v>
      </c>
      <c r="K20" s="96"/>
      <c r="N20" s="87" t="s">
        <v>53</v>
      </c>
      <c r="O20" s="86">
        <v>2195.65</v>
      </c>
      <c r="P20" s="86">
        <v>-290.04000000000002</v>
      </c>
      <c r="Q20" s="86">
        <v>1250.4100000000001</v>
      </c>
    </row>
    <row r="21" spans="2:17" x14ac:dyDescent="0.2">
      <c r="B21" s="87" t="s">
        <v>52</v>
      </c>
      <c r="C21" s="86">
        <v>2110.11</v>
      </c>
      <c r="D21" s="86">
        <v>-259.5</v>
      </c>
      <c r="E21" s="86">
        <v>1256.1199999999999</v>
      </c>
      <c r="F21" s="95"/>
      <c r="G21" s="81"/>
      <c r="H21" s="81"/>
      <c r="I21" s="81"/>
      <c r="J21" s="81"/>
      <c r="N21" s="87" t="s">
        <v>52</v>
      </c>
      <c r="O21" s="86">
        <v>2110.11</v>
      </c>
      <c r="P21" s="86">
        <v>-259.5</v>
      </c>
      <c r="Q21" s="86">
        <v>1256.1199999999999</v>
      </c>
    </row>
    <row r="22" spans="2:17" x14ac:dyDescent="0.2">
      <c r="B22" s="87" t="s">
        <v>51</v>
      </c>
      <c r="C22" s="86">
        <v>1994.25</v>
      </c>
      <c r="D22" s="86">
        <v>-272.25</v>
      </c>
      <c r="E22" s="86">
        <v>1250.03</v>
      </c>
      <c r="F22" s="95"/>
      <c r="G22" s="81"/>
      <c r="H22" s="81"/>
      <c r="I22" s="81"/>
      <c r="J22" s="81"/>
      <c r="N22" s="87" t="s">
        <v>51</v>
      </c>
      <c r="O22" s="86">
        <v>1994.25</v>
      </c>
      <c r="P22" s="86">
        <v>-272.25</v>
      </c>
      <c r="Q22" s="86">
        <v>1250.03</v>
      </c>
    </row>
    <row r="23" spans="2:17" x14ac:dyDescent="0.2">
      <c r="B23" s="87" t="s">
        <v>50</v>
      </c>
      <c r="C23" s="86">
        <v>2019</v>
      </c>
      <c r="D23" s="86">
        <v>-266.18</v>
      </c>
      <c r="E23" s="86">
        <v>1267.98</v>
      </c>
      <c r="F23" s="95"/>
      <c r="G23" s="81"/>
      <c r="H23" s="81"/>
      <c r="I23" s="81"/>
      <c r="J23" s="81"/>
      <c r="N23" s="87" t="s">
        <v>50</v>
      </c>
      <c r="O23" s="86">
        <v>2019</v>
      </c>
      <c r="P23" s="86">
        <v>-266.18</v>
      </c>
      <c r="Q23" s="86">
        <v>1267.98</v>
      </c>
    </row>
    <row r="24" spans="2:17" x14ac:dyDescent="0.2">
      <c r="B24" s="87" t="s">
        <v>49</v>
      </c>
      <c r="C24" s="86">
        <v>2053.1999999999998</v>
      </c>
      <c r="D24" s="86">
        <v>-271.77999999999997</v>
      </c>
      <c r="E24" s="86">
        <v>1282.5999999999999</v>
      </c>
      <c r="F24" s="95"/>
      <c r="G24" s="81"/>
      <c r="H24" s="81"/>
      <c r="I24" s="81"/>
      <c r="J24" s="81"/>
      <c r="N24" s="87" t="s">
        <v>49</v>
      </c>
      <c r="O24" s="86">
        <v>2053.1999999999998</v>
      </c>
      <c r="P24" s="86">
        <v>-271.77999999999997</v>
      </c>
      <c r="Q24" s="86">
        <v>1282.5999999999999</v>
      </c>
    </row>
    <row r="25" spans="2:17" x14ac:dyDescent="0.2">
      <c r="B25" s="87" t="s">
        <v>48</v>
      </c>
      <c r="C25" s="86">
        <v>2165.35</v>
      </c>
      <c r="D25" s="86">
        <v>-332.69</v>
      </c>
      <c r="E25" s="86">
        <v>1244.94</v>
      </c>
      <c r="F25" s="95"/>
      <c r="G25" s="81"/>
      <c r="H25" s="81"/>
      <c r="I25" s="81"/>
      <c r="J25" s="81"/>
      <c r="N25" s="87" t="s">
        <v>48</v>
      </c>
      <c r="O25" s="86">
        <v>2165.35</v>
      </c>
      <c r="P25" s="86">
        <v>-332.69</v>
      </c>
      <c r="Q25" s="86">
        <v>1244.94</v>
      </c>
    </row>
    <row r="26" spans="2:17" x14ac:dyDescent="0.2">
      <c r="G26" s="81"/>
      <c r="H26" s="81"/>
      <c r="I26" s="81"/>
      <c r="J26" s="81"/>
    </row>
    <row r="27" spans="2:17" x14ac:dyDescent="0.2">
      <c r="G27" s="81"/>
      <c r="H27" s="81"/>
      <c r="I27" s="81"/>
      <c r="J27" s="81"/>
    </row>
    <row r="28" spans="2:17" x14ac:dyDescent="0.2">
      <c r="B28" s="144" t="s">
        <v>47</v>
      </c>
      <c r="C28" s="144"/>
      <c r="D28" s="144"/>
      <c r="E28" s="144"/>
      <c r="G28" s="144" t="s">
        <v>46</v>
      </c>
      <c r="H28" s="144"/>
      <c r="I28" s="144"/>
      <c r="J28" s="144"/>
    </row>
    <row r="29" spans="2:17" x14ac:dyDescent="0.2">
      <c r="B29" s="87" t="s">
        <v>45</v>
      </c>
      <c r="C29" s="87" t="s">
        <v>44</v>
      </c>
      <c r="D29" s="87" t="s">
        <v>43</v>
      </c>
      <c r="E29" s="87" t="s">
        <v>42</v>
      </c>
      <c r="G29" s="87" t="s">
        <v>45</v>
      </c>
      <c r="H29" s="87" t="s">
        <v>44</v>
      </c>
      <c r="I29" s="87" t="s">
        <v>43</v>
      </c>
      <c r="J29" s="87" t="s">
        <v>42</v>
      </c>
    </row>
    <row r="30" spans="2:17" x14ac:dyDescent="0.2">
      <c r="B30" s="87" t="s">
        <v>41</v>
      </c>
      <c r="C30" s="86">
        <v>1679.99</v>
      </c>
      <c r="D30" s="86">
        <v>-252.47</v>
      </c>
      <c r="E30" s="86">
        <v>1545.41</v>
      </c>
      <c r="G30" s="87" t="s">
        <v>41</v>
      </c>
      <c r="H30" s="86">
        <v>1679.99</v>
      </c>
      <c r="I30" s="86">
        <v>-252.47</v>
      </c>
      <c r="J30" s="86">
        <v>1545.41</v>
      </c>
    </row>
    <row r="31" spans="2:17" x14ac:dyDescent="0.2">
      <c r="B31" s="87" t="s">
        <v>40</v>
      </c>
      <c r="C31" s="86">
        <v>1682.32</v>
      </c>
      <c r="D31" s="86">
        <v>-252.7</v>
      </c>
      <c r="E31" s="86">
        <v>1542.79</v>
      </c>
      <c r="G31" s="87" t="s">
        <v>40</v>
      </c>
      <c r="H31" s="86">
        <v>1682.32</v>
      </c>
      <c r="I31" s="86">
        <v>-252.7</v>
      </c>
      <c r="J31" s="86">
        <v>1542.79</v>
      </c>
    </row>
    <row r="32" spans="2:17" x14ac:dyDescent="0.2">
      <c r="B32" s="94" t="s">
        <v>39</v>
      </c>
      <c r="C32" s="93">
        <v>1706.96</v>
      </c>
      <c r="D32" s="92">
        <v>-247.1</v>
      </c>
      <c r="E32" s="92">
        <v>1511.91</v>
      </c>
      <c r="G32" s="94" t="s">
        <v>39</v>
      </c>
      <c r="H32" s="93">
        <v>1710.96</v>
      </c>
      <c r="I32" s="92">
        <v>-247.1</v>
      </c>
      <c r="J32" s="92">
        <v>1511.91</v>
      </c>
    </row>
    <row r="33" spans="2:15" x14ac:dyDescent="0.2">
      <c r="B33" s="87" t="s">
        <v>38</v>
      </c>
      <c r="C33" s="86">
        <v>1704.06</v>
      </c>
      <c r="D33" s="86">
        <v>-246.05</v>
      </c>
      <c r="E33" s="86">
        <v>1517.06</v>
      </c>
      <c r="G33" s="87" t="s">
        <v>38</v>
      </c>
      <c r="H33" s="86">
        <v>1704.06</v>
      </c>
      <c r="I33" s="86">
        <v>-246.05</v>
      </c>
      <c r="J33" s="86">
        <v>1517.06</v>
      </c>
    </row>
    <row r="34" spans="2:15" x14ac:dyDescent="0.2">
      <c r="B34" s="94" t="s">
        <v>37</v>
      </c>
      <c r="C34" s="93">
        <v>1705.06</v>
      </c>
      <c r="D34" s="93">
        <v>-249.05</v>
      </c>
      <c r="E34" s="92">
        <v>1520.06</v>
      </c>
      <c r="G34" s="94" t="s">
        <v>37</v>
      </c>
      <c r="H34" s="93">
        <v>1725.06</v>
      </c>
      <c r="I34" s="93">
        <v>-248.05</v>
      </c>
      <c r="J34" s="92">
        <v>1520.06</v>
      </c>
    </row>
    <row r="35" spans="2:15" x14ac:dyDescent="0.2">
      <c r="B35" s="87" t="s">
        <v>36</v>
      </c>
      <c r="C35" s="86">
        <v>1757.69</v>
      </c>
      <c r="D35" s="86">
        <v>-265.52999999999997</v>
      </c>
      <c r="E35" s="86">
        <v>1421.85</v>
      </c>
      <c r="G35" s="87" t="s">
        <v>36</v>
      </c>
      <c r="H35" s="86">
        <v>1757.69</v>
      </c>
      <c r="I35" s="86">
        <v>-265.52999999999997</v>
      </c>
      <c r="J35" s="86">
        <v>1421.85</v>
      </c>
    </row>
    <row r="36" spans="2:15" x14ac:dyDescent="0.2">
      <c r="B36" s="91" t="s">
        <v>35</v>
      </c>
      <c r="C36" s="90">
        <v>1798.99</v>
      </c>
      <c r="D36" s="90">
        <v>-267.77</v>
      </c>
      <c r="E36" s="90">
        <v>1362.25</v>
      </c>
      <c r="G36" s="87" t="s">
        <v>34</v>
      </c>
      <c r="H36" s="86">
        <v>1736.6</v>
      </c>
      <c r="I36" s="86">
        <v>-215.84</v>
      </c>
      <c r="J36" s="86">
        <v>1325.71</v>
      </c>
    </row>
    <row r="37" spans="2:15" x14ac:dyDescent="0.2">
      <c r="B37" s="87" t="s">
        <v>34</v>
      </c>
      <c r="C37" s="86">
        <v>1736.6</v>
      </c>
      <c r="D37" s="86">
        <v>-215.84</v>
      </c>
      <c r="E37" s="86">
        <v>1325.71</v>
      </c>
      <c r="G37" s="87" t="s">
        <v>31</v>
      </c>
      <c r="H37" s="86">
        <v>1913.29</v>
      </c>
      <c r="I37" s="86">
        <v>-288.24</v>
      </c>
      <c r="J37" s="86">
        <v>1288.81</v>
      </c>
    </row>
    <row r="38" spans="2:15" x14ac:dyDescent="0.2">
      <c r="B38" s="88" t="s">
        <v>33</v>
      </c>
      <c r="C38" s="88">
        <v>1792.33</v>
      </c>
      <c r="D38" s="88">
        <v>-266.57</v>
      </c>
      <c r="E38" s="88">
        <v>1366.53</v>
      </c>
      <c r="G38" s="83" t="s">
        <v>29</v>
      </c>
      <c r="H38" s="89">
        <v>1978.06</v>
      </c>
      <c r="I38" s="89">
        <v>-302.64999999999998</v>
      </c>
      <c r="J38" s="89">
        <v>1272.1600000000001</v>
      </c>
    </row>
    <row r="39" spans="2:15" x14ac:dyDescent="0.2">
      <c r="B39" s="88" t="s">
        <v>32</v>
      </c>
      <c r="C39" s="88">
        <v>1921.58</v>
      </c>
      <c r="D39" s="88">
        <v>-289.89</v>
      </c>
      <c r="E39" s="88">
        <v>1283.46</v>
      </c>
      <c r="G39" s="85" t="s">
        <v>22</v>
      </c>
      <c r="H39" s="84">
        <v>3019</v>
      </c>
      <c r="I39" s="84">
        <v>-366.18</v>
      </c>
      <c r="J39" s="84">
        <v>2267.98</v>
      </c>
    </row>
    <row r="40" spans="2:15" x14ac:dyDescent="0.2">
      <c r="B40" s="87" t="s">
        <v>31</v>
      </c>
      <c r="C40" s="86">
        <v>1913.29</v>
      </c>
      <c r="D40" s="86">
        <v>-288.24</v>
      </c>
      <c r="E40" s="86">
        <v>1288.81</v>
      </c>
      <c r="G40" s="85" t="s">
        <v>30</v>
      </c>
      <c r="H40" s="84">
        <v>3053.2</v>
      </c>
      <c r="I40" s="84">
        <v>-371.78</v>
      </c>
      <c r="J40" s="84">
        <v>2282.6</v>
      </c>
    </row>
    <row r="41" spans="2:15" x14ac:dyDescent="0.2">
      <c r="B41" s="83" t="s">
        <v>29</v>
      </c>
      <c r="C41" s="83">
        <v>1978.06</v>
      </c>
      <c r="D41" s="83">
        <v>-302.64999999999998</v>
      </c>
      <c r="E41" s="83">
        <v>1272.1600000000001</v>
      </c>
    </row>
    <row r="44" spans="2:15" x14ac:dyDescent="0.2">
      <c r="L44" s="82"/>
      <c r="M44" s="82"/>
      <c r="N44" s="82"/>
      <c r="O44" s="82"/>
    </row>
    <row r="45" spans="2:15" x14ac:dyDescent="0.2">
      <c r="L45" s="82"/>
      <c r="M45" s="82"/>
      <c r="N45" s="82"/>
      <c r="O45" s="82"/>
    </row>
    <row r="46" spans="2:15" x14ac:dyDescent="0.2">
      <c r="L46" s="82"/>
      <c r="M46" s="82"/>
      <c r="N46" s="82"/>
      <c r="O46" s="82"/>
    </row>
    <row r="47" spans="2:15" x14ac:dyDescent="0.2">
      <c r="L47" s="82"/>
      <c r="M47" s="82"/>
      <c r="N47" s="82"/>
      <c r="O47" s="82"/>
    </row>
    <row r="48" spans="2:15" x14ac:dyDescent="0.2">
      <c r="L48" s="82"/>
      <c r="M48" s="82"/>
      <c r="N48" s="82"/>
      <c r="O48" s="82"/>
    </row>
    <row r="49" spans="12:15" x14ac:dyDescent="0.2">
      <c r="L49" s="82"/>
      <c r="M49" s="82"/>
      <c r="N49" s="82"/>
      <c r="O49" s="82"/>
    </row>
    <row r="50" spans="12:15" x14ac:dyDescent="0.2">
      <c r="L50" s="82"/>
      <c r="M50" s="82"/>
      <c r="N50" s="82"/>
      <c r="O50" s="82"/>
    </row>
  </sheetData>
  <mergeCells count="5">
    <mergeCell ref="B4:E4"/>
    <mergeCell ref="N4:Q4"/>
    <mergeCell ref="B28:E28"/>
    <mergeCell ref="G28:J28"/>
    <mergeCell ref="G4:J4"/>
  </mergeCells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G4"/>
  <sheetViews>
    <sheetView workbookViewId="0">
      <selection activeCell="B4" sqref="B4"/>
    </sheetView>
  </sheetViews>
  <sheetFormatPr defaultRowHeight="15" x14ac:dyDescent="0.25"/>
  <cols>
    <col min="5" max="7" width="9.140625" customWidth="1"/>
  </cols>
  <sheetData>
    <row r="1" spans="1:7" x14ac:dyDescent="0.25">
      <c r="A1" t="s">
        <v>41</v>
      </c>
      <c r="B1">
        <v>-72.599999999999994</v>
      </c>
      <c r="C1">
        <v>-123.2</v>
      </c>
      <c r="D1">
        <v>-41.5</v>
      </c>
    </row>
    <row r="2" spans="1:7" x14ac:dyDescent="0.25">
      <c r="A2" t="s">
        <v>40</v>
      </c>
      <c r="B2">
        <v>-152.4</v>
      </c>
      <c r="C2">
        <v>86.199999999999989</v>
      </c>
      <c r="D2">
        <v>80.599999999999994</v>
      </c>
    </row>
    <row r="3" spans="1:7" x14ac:dyDescent="0.25">
      <c r="A3" t="s">
        <v>39</v>
      </c>
      <c r="B3">
        <v>203.7</v>
      </c>
      <c r="C3">
        <v>202.4</v>
      </c>
      <c r="D3">
        <v>100.8</v>
      </c>
    </row>
    <row r="4" spans="1:7" x14ac:dyDescent="0.25">
      <c r="A4" t="s">
        <v>58</v>
      </c>
      <c r="B4">
        <v>223.8</v>
      </c>
      <c r="C4">
        <v>205.6</v>
      </c>
      <c r="D4">
        <v>180.8</v>
      </c>
      <c r="G4" t="s">
        <v>78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T30"/>
  <sheetViews>
    <sheetView zoomScaleNormal="100" workbookViewId="0">
      <selection activeCell="C19" sqref="C19"/>
    </sheetView>
  </sheetViews>
  <sheetFormatPr defaultRowHeight="15" x14ac:dyDescent="0.25"/>
  <cols>
    <col min="6" max="6" width="23.7109375" style="104" customWidth="1"/>
  </cols>
  <sheetData>
    <row r="1" spans="1:16" x14ac:dyDescent="0.25">
      <c r="A1" s="108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</row>
    <row r="2" spans="1:16" x14ac:dyDescent="0.25">
      <c r="A2" s="108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</row>
    <row r="3" spans="1:16" x14ac:dyDescent="0.25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</row>
    <row r="4" spans="1:16" x14ac:dyDescent="0.25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</row>
    <row r="5" spans="1:16" x14ac:dyDescent="0.2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</row>
    <row r="6" spans="1:16" x14ac:dyDescent="0.25">
      <c r="A6" s="108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</row>
    <row r="7" spans="1:16" x14ac:dyDescent="0.25">
      <c r="A7" s="108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</row>
    <row r="8" spans="1:16" x14ac:dyDescent="0.25">
      <c r="A8" s="108"/>
      <c r="B8" s="108"/>
      <c r="C8" s="108"/>
      <c r="D8" s="108"/>
      <c r="E8" s="108"/>
      <c r="F8" s="108"/>
      <c r="G8" s="103"/>
      <c r="H8" s="131" t="s">
        <v>61</v>
      </c>
      <c r="I8" s="132"/>
      <c r="J8" s="132"/>
      <c r="K8" s="132"/>
      <c r="L8" s="132"/>
      <c r="M8" s="132"/>
      <c r="N8" s="133"/>
      <c r="O8" s="108"/>
      <c r="P8" s="108"/>
    </row>
    <row r="9" spans="1:16" x14ac:dyDescent="0.25">
      <c r="A9" s="108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</row>
    <row r="10" spans="1:16" x14ac:dyDescent="0.25">
      <c r="A10" s="108"/>
      <c r="B10" s="108"/>
      <c r="C10" s="108"/>
      <c r="D10" s="108"/>
      <c r="E10" s="108"/>
      <c r="F10" s="108"/>
      <c r="G10" s="108"/>
      <c r="H10" s="131" t="s">
        <v>68</v>
      </c>
      <c r="I10" s="132"/>
      <c r="J10" s="133"/>
      <c r="K10" s="108"/>
      <c r="L10" s="131" t="s">
        <v>73</v>
      </c>
      <c r="M10" s="132"/>
      <c r="N10" s="133"/>
      <c r="O10" s="108"/>
      <c r="P10" s="108"/>
    </row>
    <row r="11" spans="1:16" x14ac:dyDescent="0.25">
      <c r="A11" s="108"/>
      <c r="B11" s="108"/>
      <c r="C11" s="108"/>
      <c r="D11" s="108"/>
      <c r="E11" s="108"/>
      <c r="F11" s="108"/>
      <c r="G11" s="108"/>
      <c r="H11" s="66" t="s">
        <v>2</v>
      </c>
      <c r="I11" s="66" t="s">
        <v>3</v>
      </c>
      <c r="J11" s="66" t="s">
        <v>8</v>
      </c>
      <c r="K11" s="108"/>
      <c r="L11" s="66" t="s">
        <v>4</v>
      </c>
      <c r="M11" s="66" t="s">
        <v>5</v>
      </c>
      <c r="N11" s="66" t="s">
        <v>10</v>
      </c>
      <c r="O11" s="108"/>
      <c r="P11" s="108"/>
    </row>
    <row r="12" spans="1:16" x14ac:dyDescent="0.25">
      <c r="A12" s="108"/>
      <c r="B12" s="108"/>
      <c r="C12" s="108"/>
      <c r="D12" s="108"/>
      <c r="E12" s="108"/>
      <c r="F12" s="108"/>
      <c r="G12" s="70" t="s">
        <v>64</v>
      </c>
      <c r="H12" s="70">
        <v>-72.599999999999994</v>
      </c>
      <c r="I12" s="70">
        <v>-123.2</v>
      </c>
      <c r="J12" s="70">
        <v>-41.5</v>
      </c>
      <c r="K12" s="108"/>
      <c r="L12" s="110">
        <f>($C$19*H12)+($D$19*I12)+($E$19*J12)</f>
        <v>-94.258586235711931</v>
      </c>
      <c r="M12" s="110">
        <f>($C$20*H12)+($D$20*I12)+($E$20*J12)</f>
        <v>46.25696646776894</v>
      </c>
      <c r="N12" s="70">
        <f>($C$21*H12)+($D$21*I12)+($E$21*J12)</f>
        <v>105.57870038054344</v>
      </c>
      <c r="O12" s="108"/>
      <c r="P12" s="108"/>
    </row>
    <row r="13" spans="1:16" x14ac:dyDescent="0.25">
      <c r="A13" s="108"/>
      <c r="B13" s="108"/>
      <c r="C13" s="108"/>
      <c r="D13" s="108"/>
      <c r="E13" s="108"/>
      <c r="F13" s="108"/>
      <c r="G13" s="70" t="s">
        <v>65</v>
      </c>
      <c r="H13" s="70">
        <v>-152.4</v>
      </c>
      <c r="I13" s="70">
        <v>86.199999999999989</v>
      </c>
      <c r="J13" s="70">
        <v>80.599999999999994</v>
      </c>
      <c r="K13" s="108"/>
      <c r="L13" s="110">
        <f>($C$19*H13)+($D$19*I13)+($E$19*J13)</f>
        <v>-71.444141559545955</v>
      </c>
      <c r="M13" s="110">
        <f>($C$20*H13)+($D$20*I13)+($E$20*J13)</f>
        <v>-178.54550963432814</v>
      </c>
      <c r="N13" s="70">
        <f>($C$21*H13)+($D$21*I13)+($E$21*J13)</f>
        <v>-13.030565077447868</v>
      </c>
      <c r="O13" s="108"/>
      <c r="P13" s="108"/>
    </row>
    <row r="14" spans="1:16" x14ac:dyDescent="0.25">
      <c r="A14" s="108"/>
      <c r="B14" s="108"/>
      <c r="C14" s="108"/>
      <c r="D14" s="108"/>
      <c r="E14" s="108"/>
      <c r="F14" s="108"/>
      <c r="G14" s="70" t="s">
        <v>66</v>
      </c>
      <c r="H14" s="70">
        <v>203.7</v>
      </c>
      <c r="I14" s="70">
        <v>202.4</v>
      </c>
      <c r="J14" s="70">
        <v>100.8</v>
      </c>
      <c r="K14" s="108"/>
      <c r="L14" s="110">
        <f>($C$19*H14)+($D$19*I14)+($E$19*J14)</f>
        <v>181.93925822637186</v>
      </c>
      <c r="M14" s="110">
        <f>($C$20*H14)+($D$20*I14)+($E$20*J14)</f>
        <v>-24.4362280234444</v>
      </c>
      <c r="N14" s="70">
        <f>($C$21*H14)+($D$21*I14)+($E$21*J14)</f>
        <v>-242.73662079715911</v>
      </c>
      <c r="O14" s="108"/>
      <c r="P14" s="108"/>
    </row>
    <row r="15" spans="1:16" x14ac:dyDescent="0.25">
      <c r="A15" s="108"/>
      <c r="B15" s="131" t="s">
        <v>63</v>
      </c>
      <c r="C15" s="132"/>
      <c r="D15" s="132"/>
      <c r="E15" s="133"/>
      <c r="F15" s="108"/>
      <c r="G15" s="70" t="s">
        <v>67</v>
      </c>
      <c r="H15" s="70">
        <v>223.8</v>
      </c>
      <c r="I15" s="70">
        <v>205.6</v>
      </c>
      <c r="J15" s="70">
        <v>180.8</v>
      </c>
      <c r="K15" s="108"/>
      <c r="L15" s="110">
        <f>($C$19*H15)+($D$19*I15)+($E$19*J15)</f>
        <v>150.32673830116309</v>
      </c>
      <c r="M15" s="110">
        <f>($C$20*H15)+($D$20*I15)+($E$20*J15)</f>
        <v>-26.726214368930016</v>
      </c>
      <c r="N15" s="70">
        <f>($C$21*H15)+($D$21*I15)+($E$21*J15)</f>
        <v>-318.95771070353453</v>
      </c>
      <c r="O15" s="108"/>
      <c r="P15" s="108"/>
    </row>
    <row r="16" spans="1:16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</row>
    <row r="17" spans="1:20" x14ac:dyDescent="0.25">
      <c r="A17" s="108"/>
      <c r="B17" s="145" t="str">
        <f>Recalculation!B11</f>
        <v>Section view G-G</v>
      </c>
      <c r="C17" s="146"/>
      <c r="D17" s="146"/>
      <c r="E17" s="147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</row>
    <row r="18" spans="1:20" x14ac:dyDescent="0.25">
      <c r="A18" s="108"/>
      <c r="B18" s="68"/>
      <c r="C18" s="69" t="s">
        <v>2</v>
      </c>
      <c r="D18" s="69" t="s">
        <v>3</v>
      </c>
      <c r="E18" s="69" t="s">
        <v>8</v>
      </c>
      <c r="F18" s="108"/>
      <c r="G18" s="108"/>
      <c r="H18" s="148" t="s">
        <v>62</v>
      </c>
      <c r="I18" s="148"/>
      <c r="J18" s="148"/>
      <c r="K18" s="148"/>
      <c r="L18" s="148"/>
      <c r="M18" s="148"/>
      <c r="N18" s="148"/>
      <c r="O18" s="108"/>
      <c r="P18" s="108"/>
    </row>
    <row r="19" spans="1:20" x14ac:dyDescent="0.25">
      <c r="A19" s="108"/>
      <c r="B19" s="2" t="s">
        <v>20</v>
      </c>
      <c r="C19" s="60">
        <f>Recalculation!C13</f>
        <v>0.53529904628273328</v>
      </c>
      <c r="D19" s="60">
        <f>Recalculation!D13</f>
        <v>0.63663293096920215</v>
      </c>
      <c r="E19" s="60">
        <f>Recalculation!E13</f>
        <v>-0.55511570168241464</v>
      </c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T19" s="107"/>
    </row>
    <row r="20" spans="1:20" x14ac:dyDescent="0.25">
      <c r="A20" s="108"/>
      <c r="B20" s="2" t="s">
        <v>21</v>
      </c>
      <c r="C20" s="60">
        <f>Recalculation!C14</f>
        <v>0.67629814464709292</v>
      </c>
      <c r="D20" s="60">
        <f>Recalculation!D14</f>
        <v>-0.71677312107503732</v>
      </c>
      <c r="E20" s="60">
        <f>Recalculation!E14</f>
        <v>-0.16987381331815124</v>
      </c>
      <c r="F20" s="108"/>
      <c r="G20" s="108"/>
      <c r="H20" s="131" t="s">
        <v>74</v>
      </c>
      <c r="I20" s="132"/>
      <c r="J20" s="133"/>
      <c r="K20" s="103"/>
      <c r="L20" s="131" t="s">
        <v>73</v>
      </c>
      <c r="M20" s="132"/>
      <c r="N20" s="133"/>
      <c r="O20" s="108"/>
      <c r="P20" s="108"/>
    </row>
    <row r="21" spans="1:20" x14ac:dyDescent="0.25">
      <c r="A21" s="108"/>
      <c r="B21" s="2" t="s">
        <v>22</v>
      </c>
      <c r="C21" s="60">
        <f>Recalculation!C15</f>
        <v>-0.50603927772031321</v>
      </c>
      <c r="D21" s="60">
        <f>Recalculation!D15</f>
        <v>-0.28449042885466858</v>
      </c>
      <c r="E21" s="60">
        <f>Recalculation!E15</f>
        <v>-0.81424163814827755</v>
      </c>
      <c r="F21" s="108"/>
      <c r="G21" s="108"/>
      <c r="H21" s="66" t="s">
        <v>2</v>
      </c>
      <c r="I21" s="66" t="s">
        <v>3</v>
      </c>
      <c r="J21" s="66" t="s">
        <v>8</v>
      </c>
      <c r="K21" s="108"/>
      <c r="L21" s="66" t="s">
        <v>59</v>
      </c>
      <c r="M21" s="66" t="s">
        <v>60</v>
      </c>
      <c r="N21" s="66" t="s">
        <v>75</v>
      </c>
      <c r="O21" s="108"/>
      <c r="P21" s="108"/>
    </row>
    <row r="22" spans="1:20" x14ac:dyDescent="0.25">
      <c r="A22" s="108"/>
      <c r="B22" s="108"/>
      <c r="C22" s="108"/>
      <c r="D22" s="108"/>
      <c r="E22" s="108"/>
      <c r="F22" s="108"/>
      <c r="G22" s="70" t="s">
        <v>69</v>
      </c>
      <c r="H22" s="70">
        <f>H12-$H$12</f>
        <v>0</v>
      </c>
      <c r="I22" s="70">
        <f>I12-$I$12</f>
        <v>0</v>
      </c>
      <c r="J22" s="70">
        <f>J12-$J$12</f>
        <v>0</v>
      </c>
      <c r="K22" s="108"/>
      <c r="L22" s="109">
        <f>($C$19*H22)+($D$19*I22)+($E$19*J22)</f>
        <v>0</v>
      </c>
      <c r="M22" s="109">
        <f>($C$20*H22)+($D$20*I22)+($E$20*J22)</f>
        <v>0</v>
      </c>
      <c r="N22" s="70">
        <f>($C$21*H22)+($D$21*I22)+($E$21*J22)</f>
        <v>0</v>
      </c>
      <c r="O22" s="108"/>
      <c r="P22" s="108"/>
    </row>
    <row r="23" spans="1:20" x14ac:dyDescent="0.25">
      <c r="A23" s="108"/>
      <c r="B23" s="108"/>
      <c r="C23" s="108"/>
      <c r="D23" s="108"/>
      <c r="E23" s="108"/>
      <c r="F23" s="108"/>
      <c r="G23" s="70" t="s">
        <v>70</v>
      </c>
      <c r="H23" s="70">
        <f t="shared" ref="H23:H25" si="0">H13-$H$12</f>
        <v>-79.800000000000011</v>
      </c>
      <c r="I23" s="70">
        <f t="shared" ref="I23:I25" si="1">I13-$I$12</f>
        <v>209.39999999999998</v>
      </c>
      <c r="J23" s="70">
        <f t="shared" ref="J23:J25" si="2">J13-$J$12</f>
        <v>122.1</v>
      </c>
      <c r="K23" s="108"/>
      <c r="L23" s="109">
        <f>($C$19*H23)+($D$19*I23)+($E$19*J23)</f>
        <v>22.814444676165948</v>
      </c>
      <c r="M23" s="109">
        <f>($C$20*H23)+($D$20*I23)+($E$20*J23)</f>
        <v>-224.8024761020971</v>
      </c>
      <c r="N23" s="70">
        <f>($C$21*H23)+($D$21*I23)+($E$21*J23)</f>
        <v>-118.60926545799128</v>
      </c>
      <c r="O23" s="108"/>
      <c r="P23" s="108"/>
    </row>
    <row r="24" spans="1:20" x14ac:dyDescent="0.25">
      <c r="A24" s="108"/>
      <c r="B24" s="108"/>
      <c r="C24" s="108"/>
      <c r="D24" s="108"/>
      <c r="E24" s="108"/>
      <c r="F24" s="108"/>
      <c r="G24" s="70" t="s">
        <v>71</v>
      </c>
      <c r="H24" s="70">
        <f t="shared" si="0"/>
        <v>276.29999999999995</v>
      </c>
      <c r="I24" s="70">
        <f t="shared" si="1"/>
        <v>325.60000000000002</v>
      </c>
      <c r="J24" s="70">
        <f t="shared" si="2"/>
        <v>142.30000000000001</v>
      </c>
      <c r="K24" s="108"/>
      <c r="L24" s="109">
        <f>($C$19*H24)+($D$19*I24)+($E$19*J24)</f>
        <v>276.19784446208382</v>
      </c>
      <c r="M24" s="109">
        <f>($C$20*H24)+($D$20*I24)+($E$20*J24)</f>
        <v>-70.693194491213347</v>
      </c>
      <c r="N24" s="70">
        <f>($C$21*H24)+($D$21*I24)+($E$21*J24)</f>
        <v>-348.31532117770251</v>
      </c>
      <c r="O24" s="108"/>
      <c r="P24" s="108"/>
    </row>
    <row r="25" spans="1:20" x14ac:dyDescent="0.25">
      <c r="A25" s="108"/>
      <c r="B25" s="108"/>
      <c r="C25" s="108"/>
      <c r="D25" s="108"/>
      <c r="E25" s="108"/>
      <c r="F25" s="108"/>
      <c r="G25" s="70" t="s">
        <v>72</v>
      </c>
      <c r="H25" s="70">
        <f t="shared" si="0"/>
        <v>296.39999999999998</v>
      </c>
      <c r="I25" s="70">
        <f t="shared" si="1"/>
        <v>328.8</v>
      </c>
      <c r="J25" s="70">
        <f t="shared" si="2"/>
        <v>222.3</v>
      </c>
      <c r="K25" s="108"/>
      <c r="L25" s="109">
        <f>($C$19*H25)+($D$19*I25)+($E$19*J25)</f>
        <v>244.58532453687502</v>
      </c>
      <c r="M25" s="109">
        <f>($C$20*H25)+($D$20*I25)+($E$20*J25)</f>
        <v>-72.983180836698978</v>
      </c>
      <c r="N25" s="70">
        <f>($C$21*H25)+($D$21*I25)+($E$21*J25)</f>
        <v>-424.53641108407794</v>
      </c>
      <c r="O25" s="108"/>
      <c r="P25" s="108"/>
    </row>
    <row r="26" spans="1:20" x14ac:dyDescent="0.2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</row>
    <row r="27" spans="1:20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</row>
    <row r="28" spans="1:20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</row>
    <row r="29" spans="1:20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</row>
    <row r="30" spans="1:20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</row>
  </sheetData>
  <mergeCells count="8">
    <mergeCell ref="H20:J20"/>
    <mergeCell ref="L20:N20"/>
    <mergeCell ref="B15:E15"/>
    <mergeCell ref="H8:N8"/>
    <mergeCell ref="B17:E17"/>
    <mergeCell ref="H10:J10"/>
    <mergeCell ref="L10:N10"/>
    <mergeCell ref="H18:N1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Recalculation</vt:lpstr>
      <vt:lpstr>Pictures</vt:lpstr>
      <vt:lpstr>Import</vt:lpstr>
      <vt:lpstr>Arkusz2</vt:lpstr>
    </vt:vector>
  </TitlesOfParts>
  <Company>Tenneco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Miroslaw Dyduch</dc:creator>
  <cp:lastModifiedBy>Miroslaw Dyduch</cp:lastModifiedBy>
  <dcterms:created xsi:type="dcterms:W3CDTF">2016-07-25T18:06:19Z</dcterms:created>
  <dcterms:modified xsi:type="dcterms:W3CDTF">2016-10-06T12:30:27Z</dcterms:modified>
</cp:coreProperties>
</file>